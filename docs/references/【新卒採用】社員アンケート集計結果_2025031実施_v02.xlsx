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mc:AlternateContent xmlns:mc="http://schemas.openxmlformats.org/markup-compatibility/2006">
    <mc:Choice Requires="x15">
      <x15ac:absPath xmlns:x15ac="http://schemas.microsoft.com/office/spreadsheetml/2010/11/ac" url="https://starconsulting2017.sharepoint.com/teams/msteams_c801ed-10_/Shared Documents/10_新卒採用/2026卒/11_選考振り返り/"/>
    </mc:Choice>
  </mc:AlternateContent>
  <xr:revisionPtr revIDLastSave="119" documentId="8_{31D85DDE-D716-4A7D-9DFF-0676ECD123F5}" xr6:coauthVersionLast="47" xr6:coauthVersionMax="47" xr10:uidLastSave="{5CF8CC09-D2B3-4D60-B5F0-476309AA2831}"/>
  <bookViews>
    <workbookView xWindow="-110" yWindow="-110" windowWidth="19420" windowHeight="10420" tabRatio="931" xr2:uid="{00000000-000D-0000-FFFF-FFFF00000000}"/>
  </bookViews>
  <sheets>
    <sheet name="rawdata_アンケート回答" sheetId="3" r:id="rId1"/>
    <sheet name="回答者属性" sheetId="11" r:id="rId2"/>
    <sheet name="1_就職活動の開始時期" sheetId="5" r:id="rId3"/>
    <sheet name="2_興味を持った業界と情報収集方法" sheetId="6" r:id="rId4"/>
    <sheet name="3_業界研究" sheetId="7" r:id="rId5"/>
    <sheet name="4_エントリーした企業" sheetId="8" r:id="rId6"/>
    <sheet name="5_BDXを知ったきっかけ" sheetId="9" r:id="rId7"/>
    <sheet name="6_番外編" sheetId="10" r:id="rId8"/>
    <sheet name="質問" sheetId="1"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1" l="1"/>
  <c r="E16" i="9"/>
  <c r="B16" i="5"/>
  <c r="B7" i="11"/>
  <c r="B20" i="10"/>
  <c r="B48" i="9"/>
  <c r="B37" i="9"/>
  <c r="B28" i="9"/>
  <c r="B18" i="9"/>
  <c r="A8" i="1"/>
  <c r="A7" i="1"/>
  <c r="A6" i="1"/>
  <c r="A5" i="1"/>
  <c r="A4" i="1"/>
  <c r="A3" i="1"/>
  <c r="C8" i="11" l="1"/>
</calcChain>
</file>

<file path=xl/sharedStrings.xml><?xml version="1.0" encoding="utf-8"?>
<sst xmlns="http://schemas.openxmlformats.org/spreadsheetml/2006/main" count="836" uniqueCount="679">
  <si>
    <t>ID</t>
  </si>
  <si>
    <t>開始時刻</t>
  </si>
  <si>
    <t>完了時刻</t>
  </si>
  <si>
    <t>メール</t>
  </si>
  <si>
    <t>名前</t>
  </si>
  <si>
    <t>最終変更時刻</t>
  </si>
  <si>
    <t>卒年度</t>
    <rPh sb="0" eb="3">
      <t>ソツネンド</t>
    </rPh>
    <phoneticPr fontId="1"/>
  </si>
  <si>
    <t>お名前を教えて下さい。</t>
  </si>
  <si>
    <t>就職活動を開始した時期はいつですか？</t>
  </si>
  <si>
    <t>なぜその時期に就職活動を開始しましたか？</t>
  </si>
  <si>
    <t>就職活動開始時に興味のあった業界はどこですか？</t>
  </si>
  <si>
    <t>なぜその業界に興味を持っていましたか？</t>
  </si>
  <si>
    <t>就職活動において、業界を知るために利用した情報源をすべて選択してください。</t>
  </si>
  <si>
    <t>①～⑧、⑩、⑪のいずれかにチェックを付けた方に質問です。具体的な媒体・イベント名を教えてください。</t>
  </si>
  <si>
    <t>7.にお答え頂いた方に質問です。その媒体・イベントをどうやって知りましたか？</t>
  </si>
  <si>
    <t>主に研究をした業界はどこですか？</t>
  </si>
  <si>
    <t>業界研究をした結果、興味を持った業界はどこですか？就活中一度でも興味を持った業界はすべて選択してください。</t>
  </si>
  <si>
    <t>なぜその業界に興味を持ちましたか？</t>
  </si>
  <si>
    <t>個々の企業について詳しく知るために利用した情報源をすべて選択してください。</t>
  </si>
  <si>
    <t>①～⑧、⑩、⑪、⑯のいずれかにチェックを付けた方に質問です。具体的な媒体・イベント名を教えてください。</t>
  </si>
  <si>
    <t>13.にお答え頂いた方に質問です。その媒体・イベントをどうやって知りましたか？</t>
  </si>
  <si>
    <t>情報収集を行った企業名を具体的に教えてください。</t>
  </si>
  <si>
    <t>実際にエントリーした企業名を具体的に教えてください。</t>
  </si>
  <si>
    <t>なぜその企業をエントリーしましたか？また、エントリーしなかった企業の優先度が低かったのはなぜですか？</t>
  </si>
  <si>
    <t>主にどの就活媒体を利用してエントリーしましたか？</t>
  </si>
  <si>
    <t>B&amp;DXをいつ頃知りましたか？</t>
  </si>
  <si>
    <t>どうやってB&amp;DXを知りましたか？具体的なルートを教えてください。</t>
  </si>
  <si>
    <t>なぜB&amp;DXにエントリーしようと思いましたか？</t>
  </si>
  <si>
    <t>他社の選考と比較してB&amp;DXの選考にはどのような特徴があると思いましたか？</t>
  </si>
  <si>
    <t>皆さんの周りの友人が主に企業情報収集に利用していた媒体・機会・イベントはなんでしたか？分かる範囲で教えてください。</t>
    <phoneticPr fontId="1"/>
  </si>
  <si>
    <t>業界や企業について情報収集をする際に、困ったり不便だと感じたことがあれば教えてください。</t>
  </si>
  <si>
    <t>企業研究を行う際に、重視した情報をすべて選択してください。</t>
  </si>
  <si>
    <t>Instagramのリール・YouTubeショート・TikTokのようなショート動画形式で次々と企業の情報が流れてくる媒体があった場合、企業研究を行う就活生に利用されそうですか？ご意見をお聞かせください。</t>
  </si>
  <si>
    <t>anonymous</t>
  </si>
  <si>
    <t>坂井堂</t>
  </si>
  <si>
    <t>大学2年12月</t>
  </si>
  <si>
    <t>・ちょうど簿記の勉強をしていて、その際に「世の中にはどんな企業があるのかなー」と気になり企業調調査を始めたから
・高校教員を目指していたが、自分に合わないと思い始め、他の職業を調べ出したから
・コロナで暇だったから
(特に誰かに言われたわけでもなく、自然と始まった)</t>
  </si>
  <si>
    <t>・コンサル
・教育</t>
  </si>
  <si>
    <t>(あくまでキッカケは、)
・コンサル→カッコいい、キラキラ
・教育→教員は嫌だけど、教育は昔から好き</t>
  </si>
  <si>
    <t>③業界研究の書籍・雑誌（会社四季報や業界地図、業界研究本など）;⑥就活プラットフォーム（ワンキャリア、Unistyle、リクナビ、マイナビ、外資就活ドットコムなど）;⑩就活イベント・合同説明会;⑪大学のキャリアセンター;</t>
  </si>
  <si>
    <t>③コンサル業界大解剖、みたいなやつ
⑥ワンチャリア、外資就活、ビズリーチ
⑩ビズリーチ(?)が主催のやつ諸々
11OB訪問、企業説明会</t>
  </si>
  <si>
    <t>いずれもネットで自分で調べた</t>
  </si>
  <si>
    <t>コンサルティング;総合商社;金融;広告・マスコミ;</t>
  </si>
  <si>
    <t>コンサルティング;</t>
  </si>
  <si>
    <t>やりたいこと(経営を助ける仕事)と合っているから</t>
    <phoneticPr fontId="1"/>
  </si>
  <si>
    <t>③業界研究の書籍・雑誌（会社四季報や業界地図、業界研究本など）;⑥就活プラットフォーム（ワンキャリア、Unistyle、リクナビ、マイナビ、外資就活ドットコムなど）;⑩就活イベント・合同説明会;⑪大学のキャリアセンター;⑭企業HP・採用サイト;⑮企業の決算資料・IR情報;⑯個社ごとの会社説明会・イベント;</t>
  </si>
  <si>
    <t>企業単位では覚えていないが、ビズリーチ主催の企業イベントはよく出ていた気がする</t>
  </si>
  <si>
    <t>ネットで調べた</t>
  </si>
  <si>
    <t>有名どころのコンサル会社すべて、ベネッセ、三菱商事、三井住友銀行、博報堂</t>
  </si>
  <si>
    <t>インターンを除くき、
・B&amp;DX
・エスネットワークス</t>
  </si>
  <si>
    <t>エントリー理由：社員・社長が熱いから
非エントリー理由：単純にBDXの内定が早すぎて他企業にエントリーする余地が無かった</t>
  </si>
  <si>
    <t>外資就活ドットコム;企業HP;ONE CAREER（ワンキャリア）;ビズリーチ・キャンパス;</t>
  </si>
  <si>
    <t>大学3年4月?</t>
  </si>
  <si>
    <t>外資就活で少数精鋭の戦コンを探してたら見つけた</t>
    <phoneticPr fontId="1"/>
  </si>
  <si>
    <t>少数精鋭の戦コンは大体受けようとしてた</t>
  </si>
  <si>
    <t>社員のレベルが高い(FBが良い、熱い)</t>
    <phoneticPr fontId="1"/>
  </si>
  <si>
    <t>リクナビ、マイナビ、大学キャリアセンター</t>
  </si>
  <si>
    <t>どの企業もキラキラしてて、実態が分かりにくい</t>
    <phoneticPr fontId="1"/>
  </si>
  <si>
    <t>社風;給与水準;実際の仕事内容;求める人財像;他社と比べた強み・弱み;キャリアパス;業界内のポジション;企業実績;経営者の考え・ビジョン;</t>
  </si>
  <si>
    <t>利用されると思うが、あくまで公式HPへの誘導に限る(それでも十分だと思う)</t>
  </si>
  <si>
    <t>作田隼樹</t>
  </si>
  <si>
    <t>大学院1年3月</t>
  </si>
  <si>
    <t>夏のインターンに向けて準備を始めるため</t>
  </si>
  <si>
    <t>SIer、コンサル、メーカー</t>
  </si>
  <si>
    <t>自身が情報系の学問を修めていたため、その知識を活用できるため
デジタルのポテンシャルに魅力を感じており、生かして業務などを効率化したいと考えていたため</t>
  </si>
  <si>
    <t>①一般ニュース・メディア（新聞、テレビ、ラジオ）;③業界研究の書籍・雑誌（会社四季報や業界地図、業界研究本など）;⑤SNS（X, Instagram, YouTube,TikTokなど）;⑥就活プラットフォーム（ワンキャリア、Unistyle、リクナビ、マイナビ、外資就活ドットコムなど）;⑦OB・OG訪問系プラットフォーム（ビズリーチ・キャンパス、Matcher、エンカレッジなど）;⑨口コミ・評判サイト（OpenWork、みん就など）;⑫ゼミ・研究室からの紹介・推薦;⑬家族・友人・先輩からのクチコミ;</t>
  </si>
  <si>
    <t>⑤　Youtube、X
⑥外資就活、ワンキャリア、マイナビ、オープンワーク</t>
  </si>
  <si>
    <t>同期のすすめ</t>
  </si>
  <si>
    <t>IT・通信;コンサルティング;</t>
  </si>
  <si>
    <t>デジタルのポテンシャルを生かして世の中に影響を与えることができるため</t>
  </si>
  <si>
    <t>①一般ニュース・メディア（新聞、テレビ、ラジオ）;⑤SNS（X, Instagram, YouTube,TikTokなど）;⑥就活プラットフォーム（ワンキャリア、Unistyle、リクナビ、マイナビ、外資就活ドットコムなど）;⑬家族・友人・先輩からのクチコミ;⑭企業HP・採用サイト;</t>
  </si>
  <si>
    <t>5Youtube、X
6ワンキャリア、オープンワーク</t>
  </si>
  <si>
    <t>アビーム、PWC、アクセンチュア、NTTデータ、NRI</t>
  </si>
  <si>
    <t>アクセンチュア、アビーム、NTTデータ</t>
  </si>
  <si>
    <t xml:space="preserve">自身のやりたいことを実現できる可能性が高いと考えたから。
企業風土など自分に合わないため、優先度を下げた。
</t>
  </si>
  <si>
    <t>外資就活ドットコム;ONE CAREER（ワンキャリア）;</t>
  </si>
  <si>
    <t>大学院1年生8月</t>
  </si>
  <si>
    <t>・外資就活ドットコムでエントリーできる企業を探している際に、戦略コンサル業界で検索すると一覧に出てきて存在を知った
・Youtubeでアビームの紹介動画に出演していたBDX社員の方が現在はBDXに勤めているというお話をされていて存在を知った</t>
    <phoneticPr fontId="1"/>
  </si>
  <si>
    <t xml:space="preserve">コンスタント企業を志望するにあたり面接練習になると考えたため
</t>
  </si>
  <si>
    <t>インターンなどで研修やFBを丁寧に実施している印象です。就活生の成長につながることを考慮してくれていたのかなと思います</t>
  </si>
  <si>
    <t>Youtube、X、ワンキャリア、オープンワーク、マイナビ</t>
  </si>
  <si>
    <t>特になし</t>
  </si>
  <si>
    <t>実際の仕事内容;社風;給与水準;キャリアパス;経営者の考え・ビジョン;</t>
  </si>
  <si>
    <t xml:space="preserve">利用されそう。動画形式は情報収集のハードルが低く利用し易い印象。
</t>
  </si>
  <si>
    <t>大倉裕希</t>
  </si>
  <si>
    <t>大学院1年5月</t>
  </si>
  <si>
    <t>就活支援団体のInstagramアカウントを偶然発見したため。（内的動機はなく...）</t>
  </si>
  <si>
    <t>メーカー業界（製薬）、コンサルティング業界、銀行業界</t>
  </si>
  <si>
    <t>製薬：自分の研究領域を直接活かせる分野であったため。
コンサルティング、銀行：固定のモノ売りではなく、相手によって商材が可変なイメージがあったため。コンサルティング業界の就活をしておいて就活術を身に着けておくことで、後から楽になるという感覚があったため。</t>
  </si>
  <si>
    <t>①一般ニュース・メディア（新聞、テレビ、ラジオ）;③業界研究の書籍・雑誌（会社四季報や業界地図、業界研究本など）;⑤SNS（X, Instagram, YouTube,TikTokなど）;⑥就活プラットフォーム（ワンキャリア、Unistyle、リクナビ、マイナビ、外資就活ドットコムなど）;⑦OB・OG訪問系プラットフォーム（ビズリーチ・キャンパス、Matcher、エンカレッジなど）;⑧ネット記事（NewsPicks、Smart NEWSなど）;⑨口コミ・評判サイト（OpenWork、みん就など）;</t>
  </si>
  <si>
    <t>①：日経新聞
③：会社四季報 業界地図
⑤：Instagram
⑥：ワンキャリア、外資就活
⑦：ビズリーチ・キャンパス
⑧：Newspicks
⑨：Openwork</t>
  </si>
  <si>
    <t>①：日経新聞⇒自発的に
③：会社四季報 業界地図⇒大学の先輩からの薦め
⑤：Instagram⇒自発的に
⑥：ワンキャリア、外資就活⇒ビズリーチ・キャンパスで訪問したOBの薦め
⑦：ビズリーチ・キャンパス⇒就活支援団体のメンターの薦め
⑧：Newspicks⇒自発的に
⑨：Openwork⇒就活支援団体のメンターの薦め</t>
  </si>
  <si>
    <t>メーカー;金融;コンサルティング;</t>
  </si>
  <si>
    <t>コンサルティング;金融;メーカー;広告・マスコミ;</t>
  </si>
  <si>
    <t>銀行、コンサルティング：固定的な物売りでないビジネスモデルであり、自分の思想と一致したため
メーカー（製薬）：自分の研究領域を活かせるため
広告・マスコミ：（特にマーケティング業種において）自分の研究領域であるデータ分析の知見を活かせるため</t>
    <phoneticPr fontId="1"/>
  </si>
  <si>
    <t>⑭企業HP・採用サイト;①一般ニュース・メディア（新聞、テレビ、ラジオ）;③業界研究の書籍・雑誌（会社四季報や業界地図、業界研究本など）;⑮企業の決算資料・IR情報;</t>
  </si>
  <si>
    <t>①：日経新聞
③：会社四季報 業界地図</t>
  </si>
  <si>
    <t>①：日経新聞⇒自発的に知った
③：会社四季報 業界地図⇒大学の先輩からの薦め</t>
  </si>
  <si>
    <t>総合コンサル（BIG4、アビーム、アクセンチュア）、MBB、シンクタンク（野村総研、日本総研、三菱総研、船井総研、三菱UFJ R&amp;C、みずほR&amp;T、NTTデータ経営研究所）、その他コンサル（B&amp;DX、DI、ローランドベルガー、イグニションポイント、経営共創基盤、日立コンサルティング、ベイカレントコンサルティング、リブ・コンサルティング、LTS）</t>
    <phoneticPr fontId="1"/>
  </si>
  <si>
    <t>※エントリは、本選考に加えてインターンへのエントリも含む※
総合コンサル（BIG4、アビーム、アクセンチュア）、シンクタンク（野村総研、日本総研、三菱総研、船井総研、三菱UFJ R&amp;C、みずほR&amp;T、NTTデータ経営研究所）、その他コンサル（B&amp;DX、DI、ローランドベルガー、イグニションポイント、経営共創基盤、日立コンサルティング、ベイカレントコンサルティング、リブ・コンサルティング、LTS、CDI）</t>
    <phoneticPr fontId="1"/>
  </si>
  <si>
    <t>企業選別に意図はなく、コンサルティング業界に当てはまる企業に対してローラー式にエントリ。
MBBのような選考難易度が高いと想定される企業については、腰が引けたためエントリせず。</t>
  </si>
  <si>
    <t>外資就活ドットコム;企業HP;ONE CAREER（ワンキャリア）;</t>
  </si>
  <si>
    <t>大学院1年6月</t>
  </si>
  <si>
    <t>ビズリーチ・キャンパスのOB訪問機能を利用し、B&amp;DXの内定者から紹介いただいて認知。</t>
    <phoneticPr fontId="1"/>
  </si>
  <si>
    <t>内定者からの会社説明が魅力的であったため。
コンサルティング業界に当てはまるのであれば、いったん応募する就活スタイルであったため</t>
  </si>
  <si>
    <t>・ケース面接が短時間かつ回数が多い
・ケース面接において、”面接官と一緒に考えている”印象が強い
・会社を理解してもらおうとする姿勢が強い
・（インターン）FBが的確であり、課題を鋭く指摘できている</t>
  </si>
  <si>
    <t>ワンキャリア、ビズリーチ・キャンパス、外資就活、Openwork、就活支援団体の企画イベント</t>
  </si>
  <si>
    <t>実際の仕事内容;社風;給与水準;経営者の考え・ビジョン;</t>
  </si>
  <si>
    <t>藤岡諒</t>
  </si>
  <si>
    <t>大学3年4月</t>
  </si>
  <si>
    <t>・周りが就活を始め出して就活の会話をするようになったため
・24卒向けの就活イベント・実際の選考が多く開催され始めたため</t>
  </si>
  <si>
    <t>コンサル・シンクタンク</t>
  </si>
  <si>
    <t xml:space="preserve">
・答えのない問題を考えることが好きだったため（ケース問題を考えるのが好きだった）
・（リアリティの無い中）漠然とした成長できる環境があるのではないかと思っていたため</t>
  </si>
  <si>
    <t>⑤SNS（X, Instagram, YouTube,TikTokなど）;⑥就活プラットフォーム（ワンキャリア、Unistyle、リクナビ、マイナビ、外資就活ドットコムなど）;⑦OB・OG訪問系プラットフォーム（ビズリーチ・キャンパス、Matcher、エンカレッジなど）;⑧ネット記事（NewsPicks、Smart NEWSなど）;⑨口コミ・評判サイト（OpenWork、みん就など）;⑩就活イベント・合同説明会;⑬家族・友人・先輩からのクチコミ;③業界研究の書籍・雑誌（会社四季報や業界地図、業界研究本など）;</t>
  </si>
  <si>
    <t>③会社四季報・業界地図・業界研究本（コンサル業界大研究）
⑤X、YouTube
⑥ワンキャリア、外資就活ドットコム
⑦ビズリーチキャンパス・エンカレッジ
⑧NewsPicks
⑨OpenWork
⑩知るカフェ（各大学にある無料のカフェ、カフェ内で企業の宣伝をすることで運営、イベントも実施）、Goodfind（コンサル・投資銀行志望者が多く利用する就活講座・イベント）、ビズリーチキャンパス（内定者による就活講座・イベント）
⑬先輩からの各企業の内定者の紹介</t>
  </si>
  <si>
    <t>すべてXか、友達・先輩からの紹介です。</t>
  </si>
  <si>
    <t>コンサルしか見ていませんでした。（コンサル業界を志望した理由は先述の通り）</t>
  </si>
  <si>
    <t>③業界研究の書籍・雑誌（会社四季報や業界地図、業界研究本など）;⑤SNS（X, Instagram, YouTube,TikTokなど）;⑥就活プラットフォーム（ワンキャリア、Unistyle、リクナビ、マイナビ、外資就活ドットコムなど）;⑦OB・OG訪問系プラットフォーム（ビズリーチ・キャンパス、Matcher、エンカレッジなど）;⑧ネット記事（NewsPicks、Smart NEWSなど）;②ビジネス雑誌（Forbes JAPAN、東洋経済など）;⑨口コミ・評判サイト（OpenWork、みん就など）;</t>
  </si>
  <si>
    <t>※業界研究と媒体・イベントは同じです。
③会社四季報・業界地図・業界研究本（コンサル業界大研究）
⑤X、YouTube
⑥ワンキャリア、外資就活ドットコム
⑦ビズリーチキャンパス・エンカレッジ
⑧NewsPicks
⑨OpenWork
⑩知るカフェ（各大学にある無料のカフェ、カフェ内で企業の宣伝をすることで運営、イベントも実施）、Goodfind（コンサル・投資銀行志望者が多く利用する就活講座・イベント）、ビズリーチキャンパス（内定者による就活講座・イベント）
⑬先輩からの各企業の内定者の紹介</t>
  </si>
  <si>
    <t>業界研究と同じくすべてXか、友達・先輩からの紹介です。</t>
  </si>
  <si>
    <t>B&amp;DX、デロイト、MRI</t>
  </si>
  <si>
    <t>・B&amp;DX
・Big4各社
・MRI
・NRI
・ベイカレント
・アビームコンサルティング
・アクセンチュア</t>
  </si>
  <si>
    <t>＜なぜ上記の企業をエントリーしたか＞
・自分の目指すレベル感にあっていると思ったから
・選考を受ける中でより深くその企業について知れると思ったから
・面接等含め経験値を積みたいと思ったから
・コンサル間での複数エントリーがしやすいから（企業文化は各社違うが求められるスキルは似通っている、GDやケース面接等試験内容も似通っている）
＜なぜエントリーしなかった企業の優先度が低かったのか＞
・戦略コンサルは単に内定を取るのが難しいと思っていたから（時間を割くのが得策ではないと思っていた）</t>
    <phoneticPr fontId="1"/>
  </si>
  <si>
    <t>外資就活ドットコム;ONE CAREER（ワンキャリア）;Goodfind;</t>
  </si>
  <si>
    <t>大学3年６月ごろ（かなり曖昧です）</t>
  </si>
  <si>
    <t>外資就活でコンサル企業を見ているときに出てきた</t>
    <phoneticPr fontId="1"/>
  </si>
  <si>
    <t>・新進気鋭のコンサルであったため、ベテランの直下で働けると思ったため
・選考内容が面白いと思ったため（多くのケース面接ができる）
・エントリーのハードルが低かったため（短文の自己PRか何かでエントリーできた気がします）</t>
  </si>
  <si>
    <t>・選考が多くいろいろな面接官と会えることで企業の雰囲気をつかみやすい
・選考が多く、多くの労力がかかるため回数を重ねるごとに途中離脱が少なそう
・研修があることでゲーム感覚で楽しめる、実際の研修のイメージがつきやすい
・安部さんのFBの熱量が他社とは異なる</t>
  </si>
  <si>
    <t>・X
・外資就活ドットコム
・ワンキャリア
・Goodfind
・ビズリーチキャンパス
・マイナビ、リクナビ（ただコンサルの人はあまり使っていなかったイメージです）</t>
  </si>
  <si>
    <t>特にありませんでした。</t>
  </si>
  <si>
    <t>実際の仕事内容;社風;給与水準;福利厚生制度;他社と比べた強み・弱み;求める人財像;残業・休日出勤の実態;転勤・異動の多さ;柔軟な働き方の制度・実態;教育・研修制度;企業実績;キャリアパス;経営者の考え・ビジョン;</t>
  </si>
  <si>
    <t>手軽に見れるのであれば使うと思います。（単純な文字情報よりもわかりやすく多くの情報を得れるため）
ただパっと調べて出てくる程度の情報であれば見ないかもしれません。（実際の社員の話や会社の内装等の調べても出てこない情報があるとみる人が増えると思います）</t>
    <phoneticPr fontId="1"/>
  </si>
  <si>
    <t>坂本うらら</t>
  </si>
  <si>
    <t>大学３年４月</t>
  </si>
  <si>
    <t>周りにコンサルに就職した人がほとんどおらず、漠然と早めに始めておけば就職できそうと思っていたため＆３年生のうちに就活を終えて４年はwant to doを全て叶えたかったため</t>
  </si>
  <si>
    <t>コンサルティング業界（最初から最後までコンサル一本でした）</t>
  </si>
  <si>
    <t xml:space="preserve">仕事内容の手前で、東京拠点×職種が入社前に自分で決められる（配属ガチャが発生しない）×女性でもキャリアアップしていける業界の掛け算でだいぶ絞り込まれました。
</t>
  </si>
  <si>
    <t>③業界研究の書籍・雑誌（会社四季報や業界地図、業界研究本など）;④就活向け書籍・雑誌（東洋経済「就職四季報」、ダイヤモンド「就活特集」など）;⑥就活プラットフォーム（ワンキャリア、Unistyle、リクナビ、マイナビ、外資就活ドットコムなど）;⑨口コミ・評判サイト（OpenWork、みん就など）;⑫ゼミ・研究室からの紹介・推薦;</t>
  </si>
  <si>
    <t>会社四季報、日経業界地図、就職四季報、ワンキャリア、外資就活ドットコム、</t>
  </si>
  <si>
    <t>Googleで検索したような記憶があります。青学同期の中では私が就活走り出しも内定獲得も最速組だったのでTwitterで他校の人のツイートを眺めたり、ＬＩＮＥのオープンチャットを見たりしていました。（今振り返るとと大分怪しいソース頼りでしたが大学生ってこんなものかなと…）</t>
  </si>
  <si>
    <t>コンサルティング;広告・マスコミ;</t>
  </si>
  <si>
    <t>仕事内容や各社のHPを見て（コンサルティングってかっこいいかもここにいる自分が未来の自分だったら良いな！）と思った次第です。</t>
  </si>
  <si>
    <t>⑤SNS（X, Instagram, YouTube,TikTokなど）;⑨口コミ・評判サイト（OpenWork、みん就など）;⑫ゼミ・研究室からの紹介・推薦;⑭企業HP・採用サイト;⑯個社ごとの会社説明会・イベント;</t>
  </si>
  <si>
    <t>⑤Twitterで１期先輩の人の情報はよく見ていました。
⑯説明会はコンサル各社一通り参加しました。</t>
  </si>
  <si>
    <t>自分でネットで調べました。各社HPから説明会を直接応募しにいってました</t>
  </si>
  <si>
    <t>BCG、ローランドベルガー、デロイト（FAS含む）、PwC（Strategy＆含む）、EY（パルテノン含む）、KPMG（FAS含む）、アクセンチュア、マーサー、アビーム</t>
  </si>
  <si>
    <t>情報収集した企業は全てエントリーしました</t>
  </si>
  <si>
    <t>外資就活ドットコム;ONE CAREER（ワンキャリア）;企業HP;</t>
  </si>
  <si>
    <t>大学３年７月</t>
  </si>
  <si>
    <t>外資就活経由でスカウトメールが来た</t>
    <phoneticPr fontId="1"/>
  </si>
  <si>
    <t>メール添付の会社概要を読んで興味を持ちました。選考フローが明確だったのでエントリー障壁はありませんでした。（個人的には内定までのフローが明確でないとエントリーするのが億劫でした）</t>
  </si>
  <si>
    <t>ESが短い（40字だった記憶）、1~3次のケース面接が１日で終わるのがサバイバル感あって面白い</t>
  </si>
  <si>
    <t>ワンキャリア、SNS、外資就活、リクナビ、マイナビ、就活塾（月額〇万と支払って内定までコーチングしてもらうサービスです。商社・コンサル志望の人は使っていたイメージ）</t>
    <phoneticPr fontId="1"/>
  </si>
  <si>
    <t>特にないです</t>
  </si>
  <si>
    <t>転勤・異動の多さ;実際の仕事内容;給与水準;社風;キャリアパス;教育・研修制度;</t>
  </si>
  <si>
    <t>既にホワイト企業紹介のようなショート動画コンテンツはあり、見られているような気がします。</t>
    <phoneticPr fontId="1"/>
  </si>
  <si>
    <t>宮石康佑</t>
  </si>
  <si>
    <t>コンサル業界を志望しており、各コンサルファームのサマーインターン申込時期が5~6月だったため。</t>
  </si>
  <si>
    <t>コンサル業界</t>
  </si>
  <si>
    <t>学生時代に下記経験をしたため。
大学1年冬～大学3年冬にかけて、
①医療機関（薬局含む）のM&amp;A仲介
②中小企業の新規事業企画・事業計画書作成・補助金（事業再構築補助金）申請代行
の2事業を行う会社で長期インターン生として勤務していた。
①②事業を通して、調査・資料作成・提案によりクライアントの意思決定を促し、成果を上げることに喜びを覚え、コンサル業界を志望した。
また、上記長期インターン生として勤務した会社の代表取締役社長が、ABeam出身者であることも影響した。</t>
  </si>
  <si>
    <t>③業界研究の書籍・雑誌（会社四季報や業界地図、業界研究本など）;⑥就活プラットフォーム（ワンキャリア、Unistyle、リクナビ、マイナビ、外資就活ドットコムなど）;⑨口コミ・評判サイト（OpenWork、みん就など）;</t>
  </si>
  <si>
    <t>③：業界地図
⑥：ワンキャリア、外資就活ドットコム
⑨：OpenWork</t>
  </si>
  <si>
    <t>③：本屋
⑥：ワンキャリア：YouTube（Newspicks、Pivotチャンネル）　外資就活ドットコム：Web検索
⑨：OpenWork：Web検索</t>
  </si>
  <si>
    <t>「5.なぜその業界に興味を持っていましたか？」に回答した理由に加えて、
・若手のうちから部長クラス以上のクライアントと対峙することで高い視座を得られると考えたため
・将来的なキャリアを見据え、業界に依存しない汎用的なビジネススキルを会得したいと考えたため
・年功序列の評価ではなく、自身の成果・スキルを評価されることに魅力を感じたため</t>
  </si>
  <si>
    <t>各社のホームページ;</t>
  </si>
  <si>
    <t>マッキンゼー、BCG、デロイト、EY、PwC、KPMG、ABeam、ベイカレントコンサルティング</t>
  </si>
  <si>
    <t>コンサルティングファームかつ高年収の条件でエントリーしていた。
特定の業界やサービスのみ強みに持つファームに対しては、エントリーしなかった。これは、自身のキャリア初期で業界に依存するスキルよりも、汎用的なスキルを会得することを重視したためである。</t>
  </si>
  <si>
    <t>大学3年7月</t>
  </si>
  <si>
    <t>ワンキャリア、外資就活ドットコムでコンサル業界を調べている際に、一覧に出てきて存在を知った。</t>
  </si>
  <si>
    <t>下記3点を魅力に感じたため。
・給与面
・対象としている業界・サービスのバリエーションの多さ
・提供するサービスが社会に与えるインパクトの大きさ</t>
  </si>
  <si>
    <t>面接やJobが対面であること、Job後のフォローアップが丁寧なことに特徴を感じた。</t>
  </si>
  <si>
    <t>ワンキャリア、外資就活、マイナビや各大学が主催する企業説明会</t>
  </si>
  <si>
    <t>ワンキャリアなどのポータルサイトでは、各企業の雰囲気を感じにくい。</t>
    <phoneticPr fontId="1"/>
  </si>
  <si>
    <t>実際の仕事内容;給与水準;キャリアパス;教育・研修制度;企業実績;経営者の考え・ビジョン;</t>
  </si>
  <si>
    <t>利用されそう。
就活生がショート動画形式での企業情報収集を目的に別アプリケーションをDL・アカウント作成を行うハードルは高いと予想されるため、各SNSの特定アカウントが公開しているショート動画を連続再生できた方が、利便性が高いと感じる。</t>
    <phoneticPr fontId="1"/>
  </si>
  <si>
    <t>鈴木航海</t>
  </si>
  <si>
    <t>姉から早く就活を始めたほうが良いという声があり、就活を始めました。</t>
  </si>
  <si>
    <t>コンサル
FAS</t>
  </si>
  <si>
    <t>漠然と自身の市場価値を早く高められるような職に就きたいと考えていたため。
※その観点でパッと思いつく業界がコンサルだった</t>
  </si>
  <si>
    <t>⑤SNS（X, Instagram, YouTube,TikTokなど）;⑥就活プラットフォーム（ワンキャリア、Unistyle、リクナビ、マイナビ、外資就活ドットコムなど）;</t>
  </si>
  <si>
    <t>外資就活ドットコム、ワンキャリア</t>
  </si>
  <si>
    <t>ネット調査
※レベルが高めの会社を中心に掲載している就活媒体的な観点でググっていたと思います。</t>
  </si>
  <si>
    <t>コンサルと業務が似ているため
※SIer等</t>
  </si>
  <si>
    <t>⑥就活プラットフォーム（ワンキャリア、Unistyle、リクナビ、マイナビ、外資就活ドットコムなど）;⑤SNS（X, Instagram, YouTube,TikTokなど）;⑭企業HP・採用サイト;⑨口コミ・評判サイト（OpenWork、みん就など）;</t>
  </si>
  <si>
    <t>Ｘ，YouTube,外資就活ドットコム,ワンキャリア</t>
  </si>
  <si>
    <t>Ｘ、YouTube：元から使う媒体だった
外資就活っとコム、ワンキャリア：就活開始時にネットで調べた</t>
  </si>
  <si>
    <t>PwC,デロイト,EY,BCG,アビーム,ベイカレント</t>
  </si>
  <si>
    <t>PwC（関連会社含む）,デロイト（関連会社含む）,EY,BCG,アビーム,ベイカレント</t>
  </si>
  <si>
    <t>とりあえずBig4中心に大手コンサルを受けました。
BiG4の各部門、関連企業（監査法人・Fas等）を全部受けてたら、それだけで20弱くらいのエントリーになり、他を受ける余裕がはなかったです。</t>
  </si>
  <si>
    <t>大学3年8月</t>
  </si>
  <si>
    <t>外資就活ドットコムでエントリーできる企業を探している際に、戦略コンサル業界で検索すると一覧に出てきて存在を知った</t>
    <phoneticPr fontId="1"/>
  </si>
  <si>
    <t>初任給が640万と記載されていたから。
※元々内定を持っていた会社が500万強だったので心が揺れました</t>
  </si>
  <si>
    <t>ジョブのフィードバックが厳しい
1~3次面接の形式が面白い
※合格と言われる回数が多いことは、心理的に次の選考に進もうという気になる気がします。何回も合格したのに選考辞退することはもったいないように感じるため</t>
    <phoneticPr fontId="1"/>
  </si>
  <si>
    <t>給与水準;実際の仕事内容;他社と比べた強み・弱み;求める人財像;転勤・異動の多さ;</t>
  </si>
  <si>
    <t>私の場合は、就活開始段階でどの企業を受けるかある程度決まっていたので、受動的に情報が入ってくる媒体は使わないかもしれないです。
受ける業界・企業が固まっていない人は使うかもしれません。</t>
    <phoneticPr fontId="1"/>
  </si>
  <si>
    <t>森貴央</t>
  </si>
  <si>
    <t>夏インターンの応募時期だったため。</t>
  </si>
  <si>
    <t>メーカー</t>
  </si>
  <si>
    <t>大学の研究分野に近かったため。</t>
  </si>
  <si>
    <t>⑥就活プラットフォーム（ワンキャリア、Unistyle、リクナビ、マイナビ、外資就活ドットコムなど）;⑦OB・OG訪問系プラットフォーム（ビズリーチ・キャンパス、Matcher、エンカレッジなど）;⑨口コミ・評判サイト（OpenWork、みん就など）;③業界研究の書籍・雑誌（会社四季報や業界地図、業界研究本など）;</t>
  </si>
  <si>
    <t>③会社四季報
⑥ワンキャリア、外資就活ドットコム、リクナビ
⑨Openwork、みん就</t>
  </si>
  <si>
    <t>⑥ワンキャリア ⑨Open work→研究室の先輩、エンカレッジのメンターからの薦め
上記以外はネット検索</t>
  </si>
  <si>
    <t>メーカー;IT・通信;コンサルティング;</t>
  </si>
  <si>
    <t>メーカー;コンサルティング;IT・通信;</t>
  </si>
  <si>
    <t>メーカー→前述の通り
IT、コンサル→業界研究を進め、デジタル技術がどの分野でも欠かせなくなってきており、多くの企業の課題に対応することができる業界だから。</t>
  </si>
  <si>
    <t>⑥就活プラットフォーム（ワンキャリア、Unistyle、リクナビ、マイナビ、外資就活ドットコムなど）;⑨口コミ・評判サイト（OpenWork、みん就など）;⑤SNS（X, Instagram, YouTube,TikTokなど）;</t>
  </si>
  <si>
    <t>⑤X
⑥ワンキャリア、外資就活
⑨Open work</t>
  </si>
  <si>
    <t>インターネット検索</t>
  </si>
  <si>
    <t>pwc、デロイト、kpmg、EY、アビーム、アーサーザリトル、三菱重工、ホンダ技研</t>
  </si>
  <si>
    <t>pwc、デロイト、kpmg、アーサーザリトル</t>
  </si>
  <si>
    <t>主なプロジェクト領域がクライアントの企業方針を変えていくようなものか、そのプロジェクトに若手からどの程度関われそうか、という視点で優先度の高い企業からエントリーを考えた。
また、選考フローや時期が自身の応募しやすい(選考準備や学業とのタイミング等を鑑みて)ものから受けた。</t>
  </si>
  <si>
    <t>外資就活ドットコム;企業HP;</t>
  </si>
  <si>
    <t>大学院8月</t>
  </si>
  <si>
    <t>外資就活ドットコムから、
「今月のエントリー対象企業」や「応募締め切り間近企業」といった内容のメール(アナウンス？)で知った</t>
    <phoneticPr fontId="1"/>
  </si>
  <si>
    <t>・行っていそうなプロジェクト内容が自分のコンサルでやりたいことに近いのではと思った(戦略コンサルやアビーム戦略役員立ち上げといった文面や、外資就活等に記載の情報から判断)
・コンサル志望としてはスタートが遅いと思っていたため選考練習になってもよいと思った(面接練習をしたく、WEBテスト等を挟まずに面接を受けることができたことも大きい)</t>
  </si>
  <si>
    <t>・1-3次面接の形態
・WEBテストやグループ面接を介していないこと(すぐに現役コンサルタントの方と面接できる)</t>
  </si>
  <si>
    <t>媒体はワンキャリア、Open workが多く、
機会としてはエンカレッジを用いている人もも多かった。
また、インターン参加してからのメンター制度などを利用しているケースも多い。</t>
    <phoneticPr fontId="1"/>
  </si>
  <si>
    <t>実際の仕事内容;社風;給与水準;他社と比べた強み・弱み;企業実績;</t>
  </si>
  <si>
    <t>企業の名前を知るファーストコンタクトにはなると思います。一方で、大手企業・有名企業(一般に多くの人が志望する企業)なほどショート動画形式といったアピールをしない印象があるので、企業の名前を重視する人には刺さりにくいと感じます。</t>
    <phoneticPr fontId="1"/>
  </si>
  <si>
    <t>増田靖</t>
  </si>
  <si>
    <t>学部時代の友人にこの時期から就活始まるよと言われたため。</t>
  </si>
  <si>
    <t>特定の行きたい業界もなかったため、むしろ広範囲の業界と関われる仕事ができることに魅力を感じたこと。</t>
  </si>
  <si>
    <t>⑬家族・友人・先輩からのクチコミ;⑥就活プラットフォーム（ワンキャリア、Unistyle、リクナビ、マイナビ、外資就活ドットコムなど）;</t>
  </si>
  <si>
    <t>外資就活</t>
  </si>
  <si>
    <t>友人より</t>
  </si>
  <si>
    <t>幅広い分野のクライアントと仕事ができるから。</t>
  </si>
  <si>
    <t>③業界研究の書籍・雑誌（会社四季報や業界地図、業界研究本など）;⑬家族・友人・先輩からのクチコミ;</t>
  </si>
  <si>
    <t>業界地図</t>
  </si>
  <si>
    <t>就活前より知っていた</t>
  </si>
  <si>
    <t>マッキンゼー、BCG、ATカーニー</t>
  </si>
  <si>
    <t>マッキンゼー、BCG</t>
  </si>
  <si>
    <t>業界のリーディングカンパニーだから。
エントリーしなかった理由は次期の選考で受けようと考えていたため。</t>
  </si>
  <si>
    <t>外資就活ドットコム;</t>
  </si>
  <si>
    <t>大学院1年7月</t>
  </si>
  <si>
    <t>外資就活ドットコムでたまたま出てきた。</t>
  </si>
  <si>
    <t>友人にBDXを尋ねたところ、受けた方がいいと言われたので。</t>
  </si>
  <si>
    <t>相手が学生であるとは関係なく、社会人としての責任(時間内に相手の期待値を超える成果物)を要求する特徴がある</t>
    <phoneticPr fontId="1"/>
  </si>
  <si>
    <t>外資就活、ワンキャリ、リクルート</t>
  </si>
  <si>
    <t>コンサル業界は全体的に社外秘・未上場(非公開)が多いため、どこも似たようなウェブページ、似たような抽象度の高い実績ばかり載っており、どのような会社なのか、またどのようなクライアントがいるのかが不明瞭だったこと。</t>
    <phoneticPr fontId="1"/>
  </si>
  <si>
    <t>実際の仕事内容;経営者の考え・ビジョン;</t>
  </si>
  <si>
    <t>「認知」という意味では効果的であると考えています。大企業や知名度の低いスタートアップ等であればショート動画にて違いをみせることで就活生を引き寄せられると思います。一方で、ショート動画によるチープさが出ないように工夫が必要だと思います。</t>
    <phoneticPr fontId="1"/>
  </si>
  <si>
    <t>村井海斗</t>
  </si>
  <si>
    <t>大学3年5月</t>
  </si>
  <si>
    <t>周りの友達が始めていたから</t>
  </si>
  <si>
    <t>コンサル</t>
  </si>
  <si>
    <t>厳しく鍛えられそうな業界だと思っていたから</t>
  </si>
  <si>
    <t>⑤SNS（X, Instagram, YouTube,TikTokなど）;⑧ネット記事（NewsPicks、Smart NEWSなど）;⑨口コミ・評判サイト（OpenWork、みん就など）;</t>
  </si>
  <si>
    <t>X（旧Twitter）</t>
  </si>
  <si>
    <t>元々ユーザーだった</t>
  </si>
  <si>
    <t>世の中に大きな影響を与えている企業とのプロジェクトを推進できることに血が騒いだから</t>
  </si>
  <si>
    <t>⑤SNS（X, Instagram, YouTube,TikTokなど）;⑥就活プラットフォーム（ワンキャリア、Unistyle、リクナビ、マイナビ、外資就活ドットコムなど）;⑭企業HP・採用サイト;</t>
  </si>
  <si>
    <t>元々ユーザー</t>
  </si>
  <si>
    <t>B&amp;DX、PwCコンサルティング</t>
  </si>
  <si>
    <t>B&amp;DX、PwCコンサルティング、東京海上日動、日本政策金融公庫、Speee</t>
  </si>
  <si>
    <t>幅広く業界を知るためにエントリーした。サマーインターンをおこなっていなかった。</t>
  </si>
  <si>
    <t>企業HP;</t>
  </si>
  <si>
    <t>Xの就活アカウントがコンサルティング企業として紹介しているポストを見た</t>
    <phoneticPr fontId="1"/>
  </si>
  <si>
    <t>少数精鋭のファームも見てみようと思ったから。</t>
  </si>
  <si>
    <t>就活生に忖度しない姿勢。代表取締役社長がインターンに参加する点。</t>
  </si>
  <si>
    <t>X、外資就活ドットコム、YouTube</t>
  </si>
  <si>
    <t>B&amp;DXの2次情報が少なかった。</t>
  </si>
  <si>
    <t>実際の仕事内容;社風;給与水準;求める人財像;業界内のポジション;経営者の考え・ビジョン;</t>
  </si>
  <si>
    <t>利用する。Xのように隙間時間に利用が可能だから。</t>
  </si>
  <si>
    <t>佐野竜太朗</t>
  </si>
  <si>
    <t>周りの友人が始め出したタイミングであったため。</t>
  </si>
  <si>
    <t>外資系メーカー</t>
  </si>
  <si>
    <t>森岡氏の書籍を読んでおり、P&amp;Gに興味を持っていたから。</t>
  </si>
  <si>
    <t>⑥就活プラットフォーム（ワンキャリア、Unistyle、リクナビ、マイナビ、外資就活ドットコムなど）;①一般ニュース・メディア（新聞、テレビ、ラジオ）;⑦OB・OG訪問系プラットフォーム（ビズリーチ・キャンパス、Matcher、エンカレッジなど）;⑧ネット記事（NewsPicks、Smart NEWSなど）;⑬家族・友人・先輩からのクチコミ;</t>
  </si>
  <si>
    <t>⑥:ワンキャリア、外資就活ドットコム　⑦:ビズリーチ・キャンパス、Matcher、エンカレッジ　⑧:NewsPicks</t>
  </si>
  <si>
    <t>⑥ワンキャリア、外資就活ドットコム:友人からの薦め　⑦ ビズリーチ・キャンパス、Matcher、エンカレッジ:インターンシップ先での友人からの薦め　⑧NewsPicks:CM</t>
  </si>
  <si>
    <t>総合商社;コンサルティング;メーカー;</t>
  </si>
  <si>
    <t>私の軸に合致していると感じたため。（軸:①「本物の打席」に立てる環境②真にAIに代替できない仕事）</t>
  </si>
  <si>
    <t>⑭企業HP・採用サイト;</t>
  </si>
  <si>
    <t>BCG、 デロイトトーマツコンサルティング、キーエンス、P&amp;G、三菱商事、三井物産</t>
  </si>
  <si>
    <t>BCG、デロイトトーマツコンサルティング、KPMGコンサルティング、P&amp;G</t>
  </si>
  <si>
    <t>私の軸に沿っている企業だと感じたから。業務内容や社風などを理解できる情報が多く開示されていたため。</t>
    <phoneticPr fontId="1"/>
  </si>
  <si>
    <t>大学3年9月</t>
  </si>
  <si>
    <t>SNSで締切一覧と書かれているコンテンツを見て存在を知った。</t>
    <phoneticPr fontId="1"/>
  </si>
  <si>
    <t>締切一覧に書かれている企業は全てエントリーしてみようと思っていたため。</t>
  </si>
  <si>
    <t>ケース面接は非常に特徴的だった。また、ジョブのプレゼンテーションの場は、就職活動の中で最も緊張した瞬間だったため、就活生の記憶に残りやすいものだと思った。</t>
  </si>
  <si>
    <t>ワンキャリア</t>
  </si>
  <si>
    <t>コンサル業界は守秘義務があるため内情や働き方がわかりづらく、一定ブラックボックスであると感じる。入社後のミスマッチを防ぐ意味でも、なにか感じられるところが有ればと思う。</t>
    <phoneticPr fontId="1"/>
  </si>
  <si>
    <t>実際の仕事内容;社風;キャリアパス;経営者の考え・ビジョン;</t>
  </si>
  <si>
    <t>結論、踏み込んだコンテンツがあれば利用されると思う。コンサルの内情や働き方が分かればいいと思うが、実現可能性低いかと感じる。</t>
    <phoneticPr fontId="1"/>
  </si>
  <si>
    <t>髙濱健介</t>
  </si>
  <si>
    <t>大学3年2月</t>
  </si>
  <si>
    <t>選抜コミュニティの勧誘(alternative internship)をその時期にtwitter上で見つけたため。</t>
  </si>
  <si>
    <t>コンサル業界、金融業界</t>
  </si>
  <si>
    <t>優秀な人が集まっている業界のイメージがぼんやりあったため。就活を始めた段階では戦略と総合コンサルの違いもよく分かっていませんでした。</t>
  </si>
  <si>
    <t>①一般ニュース・メディア（新聞、テレビ、ラジオ）;⑤SNS（X, Instagram, YouTube,TikTokなど）;⑥就活プラットフォーム（ワンキャリア、Unistyle、リクナビ、マイナビ、外資就活ドットコムなど）;⑦OB・OG訪問系プラットフォーム（ビズリーチ・キャンパス、Matcher、エンカレッジなど）;⑨口コミ・評判サイト（OpenWork、みん就など）;⑬家族・友人・先輩からのクチコミ;選抜コミュニティ;</t>
  </si>
  <si>
    <t>①：日経新聞
⑤：X
⑥：外資就活ドットコム、ワンキャリア
⑦：ビズリーチキャンパス
⑨：open work</t>
  </si>
  <si>
    <t>全てデスクトップリサーチで検索しました。「26卒　就活」や「(企業名) 口コミ」などです。</t>
  </si>
  <si>
    <t>コンサルティング;金融;</t>
  </si>
  <si>
    <t>金融;コンサルティング;</t>
  </si>
  <si>
    <t>様々な業界を横断する仕事ができるため。また、情勢をキャッチアップしつつ頭を使っていくことが求められる仕事であると考え、興味があったため。</t>
  </si>
  <si>
    <t>⑨口コミ・評判サイト（OpenWork、みん就など）;⑭企業HP・採用サイト;⑮企業の決算資料・IR情報;</t>
  </si>
  <si>
    <t>マッキンゼー、ベイン、ボストンコンサルティング、ATカーニー、EY、accenture、博報堂コンサルティング、citi、ゴールドマンサックス、モルガンスタンレー、ドイツ銀行、三菱ufjモルガンスタンレー、野村証券、大和証券、みずほ証券、日興証券</t>
  </si>
  <si>
    <t>マッキンゼー、ベイン、ボストンコンサルティング、ATカーニー、EY、accenture、博報堂コンサルティング、citi、ゴールドマンサックス、モルガンスタンレー、ドイツ銀行</t>
  </si>
  <si>
    <t>外資就活ドットコムで見かけた大手コンサルティングファームと外資系投資銀行を出しました。日系の投資銀行に出さなかった理由は、サマーインターンの優遇が無いという話を聞いていたためです。</t>
  </si>
  <si>
    <t>外資就活ドットコム;ONE CAREER（ワンキャリア）;ビズリーチ・キャンパス;</t>
  </si>
  <si>
    <t>外資就活ドットコムを「締切順」表示にしてみていた時に、発見しました。</t>
    <phoneticPr fontId="1"/>
  </si>
  <si>
    <t>戦略コンサルティングであると認識したためです。</t>
  </si>
  <si>
    <t>エントリーシートの書く内容が非常に少ないと感じました。また、最初のケース面接の形式が特徴的でした。</t>
  </si>
  <si>
    <t>外資就活ドットコム、ワンキャリア、ビズリーチキャンパス、open work、alternative intenships、YC塾</t>
  </si>
  <si>
    <t>実際の仕事内容;社風;給与水準;他社と比べた強み・弱み;求める人財像;キャリアパス;業界内のポジション;教育・研修制度;企業実績;経営者の考え・ビジョン;採用実績;</t>
  </si>
  <si>
    <t>あまりされていないと思います。むしろ、おぼつかないベンチャー企業のような感覚を受けるので就活生としてはあまり好ましい印象は受けないと予想されます。</t>
    <phoneticPr fontId="1"/>
  </si>
  <si>
    <t>瀬戸太郎</t>
  </si>
  <si>
    <t>私と別の国へ留学していた友人が就職活動を始めたことを知ったため。</t>
  </si>
  <si>
    <t>コンサルティング業界</t>
  </si>
  <si>
    <t>①正解のない課題に取り組む環境、②レベルの高いアウトプットが求められる環境、③優秀な人に囲まれて仕事をする環境が自分を成長させると考えたため。</t>
  </si>
  <si>
    <t>⑤SNS（X, Instagram, YouTube,TikTokなど）;⑥就活プラットフォーム（ワンキャリア、Unistyle、リクナビ、マイナビ、外資就活ドットコムなど）;⑦OB・OG訪問系プラットフォーム（ビズリーチ・キャンパス、Matcher、エンカレッジなど）;⑨口コミ・評判サイト（OpenWork、みん就など）;⑬家族・友人・先輩からのクチコミ;①一般ニュース・メディア（新聞、テレビ、ラジオ）;</t>
  </si>
  <si>
    <t>①：日本経済新聞
⑤：YouTube
⑥：ワンキャリア、外資就活ドットコム、OfferBox
⑦：ビズリーチ・キャンパス、エンカレッジ
⑨：OpenWork
⑬：父</t>
  </si>
  <si>
    <t>①：日本経済新聞：父からの薦め
⑤：YouTube
⑥：ワンキャリア、外資就活ドットコム、OfferBox：友人の薦め
⑦：ビズリーチ・キャンパス、エンカレッジ：友人、サークルの先輩の薦め
⑨：OpenWork友人の薦め
⑬：父</t>
  </si>
  <si>
    <t>コンサルティング;総合商社;金融;官公庁・公務員;</t>
  </si>
  <si>
    <t>コンサルティング;金融;総合商社;官公庁・公務員;</t>
  </si>
  <si>
    <t>総合商社：レベルの高いアウトプットが求められる環境、優秀な人に囲まれながら仕事ができる環境、海外との接点が多い環境に魅力を感じたため。
金融：父が証券業界に勤めており、以前より興味を抱いていたため。
官公庁・公務員：専攻の安全保障に仕事として携われる点に魅力を感じたため。</t>
    <phoneticPr fontId="1"/>
  </si>
  <si>
    <t>⑨口コミ・評判サイト（OpenWork、みん就など）;⑭企業HP・採用サイト;⑮企業の決算資料・IR情報;⑦OB・OG訪問系プラットフォーム（ビズリーチ・キャンパス、Matcher、エンカレッジなど）;⑥就活プラットフォーム（ワンキャリア、Unistyle、リクナビ、マイナビ、外資就活ドットコムなど）;⑤SNS（X, Instagram, YouTube,TikTokなど）;</t>
  </si>
  <si>
    <t>⑤：YouTube
⑥：ワンキャリア、外資就活ドットコム
⑦：ビズリーチ・キャンパス
⑨：OpenWork
⑯：会社説明会、インターンシップ</t>
  </si>
  <si>
    <t>⑤：YouTube
⑥：ワンキャリア、外資就活ドットコム：友人からの薦め
⑦：ビズリーチ・キャンパス：友人からの薦め
⑨：OpenWork：友人からの薦め
⑯：会社説明会、インターンシップ</t>
  </si>
  <si>
    <t>MBB、デロイト、PwC、KPMG、BayCurrent、五大商社、3メガバンク、野村證券、大和証券</t>
  </si>
  <si>
    <t>マッキンゼー、ボスコン、デロイト、PwC、KPMG、BayCurrent</t>
  </si>
  <si>
    <t>志望業界だったため。</t>
  </si>
  <si>
    <t>大学3年6月</t>
  </si>
  <si>
    <t>インターンシップ選考参加のスカウトをいただいたため。</t>
    <phoneticPr fontId="1"/>
  </si>
  <si>
    <t>戦略コンサルティングの会社だったため。</t>
  </si>
  <si>
    <t>ESの重要度が低い点、1~3次面接を同日に行う点、年次の高い社員の方が面接官として向き合ってくださる点。</t>
  </si>
  <si>
    <t>私と同じ媒体を利用している友人が多かったです。</t>
  </si>
  <si>
    <t>業界・企業研究にかなり時間がかかること、企業ごとの違いが見えづらいこと、企業の表面的な部分しか理解できていないこと。</t>
    <phoneticPr fontId="1"/>
  </si>
  <si>
    <t>実際の仕事内容;給与水準;他社と比べた強み・弱み;求める人財像;採用実績;経営者の考え・ビジョン;業界内のポジション;キャリアパス;</t>
  </si>
  <si>
    <t>業界も企業も絞れていない就活生には利用されると思いますが、私や私の周囲の友人のように就活を始めた段階から志望業界を絞れている学生にが利用されにくいと思います。私が使うとしても、関心のある企業の動画だけを視聴すると思います。</t>
  </si>
  <si>
    <t>名和千風</t>
    <phoneticPr fontId="1"/>
  </si>
  <si>
    <t>大学院一年五月</t>
    <phoneticPr fontId="1"/>
  </si>
  <si>
    <t>周りに取り残されないため。</t>
  </si>
  <si>
    <t>広告</t>
  </si>
  <si>
    <t>デザインに関心があったため。</t>
  </si>
  <si>
    <t>③業界研究の書籍・雑誌（会社四季報や業界地図、業界研究本など）;⑤SNS（X, Instagram, YouTube,TikTokなど）;⑥就活プラットフォーム（ワンキャリア、Unistyle、リクナビ、マイナビ、外資就活ドットコムなど）;⑦OB・OG訪問系プラットフォーム（ビズリーチ・キャンパス、Matcher、エンカレッジなど）;⑨口コミ・評判サイト（OpenWork、みん就など）;⑩就活イベント・合同説明会;⑪大学のキャリアセンター;</t>
  </si>
  <si>
    <t>③業界地図
⑤X・YouTube
⑥ワンキャリア・リクナビ・マイナビ・外資就活ドットコム・GoodFind
⑦ビズリーチ・キャンパス、Matcher、エンカレッジ
⑨OpenWork</t>
  </si>
  <si>
    <t>ネット情報、友達</t>
  </si>
  <si>
    <t>IT・通信;コンサルティング;広告・マスコミ;</t>
  </si>
  <si>
    <t>総合商社;メーカー;IT・通信;コンサルティング;広告・マスコミ;官公庁・公務員;</t>
  </si>
  <si>
    <t>幅広く業界を見てみたかったから。</t>
  </si>
  <si>
    <t>③業界研究の書籍・雑誌（会社四季報や業界地図、業界研究本など）;⑤SNS（X, Instagram, YouTube,TikTokなど）;⑥就活プラットフォーム（ワンキャリア、Unistyle、リクナビ、マイナビ、外資就活ドットコムなど）;⑦OB・OG訪問系プラットフォーム（ビズリーチ・キャンパス、Matcher、エンカレッジなど）;⑨口コミ・評判サイト（OpenWork、みん就など）;⑩就活イベント・合同説明会;⑭企業HP・採用サイト;⑮企業の決算資料・IR情報;</t>
  </si>
  <si>
    <t>ネット情報、友人</t>
  </si>
  <si>
    <t>B&amp;DX、Big4、博報堂、電通、MRI、NRI、ドコモ</t>
  </si>
  <si>
    <t>B&amp;DX、ドコモ、MRI、博報堂、電通</t>
  </si>
  <si>
    <t>実際のエントリーは100社ほど出したが、選考を受け続けていたのが上記の企業で、やりがいや社風で選別した。</t>
  </si>
  <si>
    <t>外資就活ドットコム;マイナビ;</t>
  </si>
  <si>
    <t>大学院一年6月</t>
  </si>
  <si>
    <t>外資就活ドットコムでエントリーできる企業を探している際に、戦略コンサル業界で検索すると一覧に出てきて存在を知った</t>
  </si>
  <si>
    <t>社風とやりがいに惹かれたから</t>
  </si>
  <si>
    <t>情報が少ない。事前対策ができなかったが、能力に加え学生一人一人のこともしっかり見てくださっている気がした。</t>
  </si>
  <si>
    <t>外資就活、ワンキャリア、openmoney、まいなび</t>
  </si>
  <si>
    <t>各企業のHP一社一社に情報を登録していくこと。
自身の大学で早期に就活を始めている人が少なく仲間がいなかったこと。</t>
    <phoneticPr fontId="1"/>
  </si>
  <si>
    <t>実際の仕事内容;社風;経営者の考え・ビジョン;</t>
  </si>
  <si>
    <t>一緒に就活をしていた友達でインスタやTikTokで業界研究をしている人が複数人いました。むしろそちらのほうが主流な気がしました。</t>
    <phoneticPr fontId="1"/>
  </si>
  <si>
    <t>横谷悠</t>
    <phoneticPr fontId="1"/>
  </si>
  <si>
    <t>大学4年8月（休学中につき大学3年生8月に相当）</t>
    <phoneticPr fontId="1"/>
  </si>
  <si>
    <t>コンサル業界が夏に採用が活発化するイメージを持っていたから（実際にはもう少し早く動くべきだった）</t>
  </si>
  <si>
    <t>経営に関わる能力を網羅的に取得できそうなイメージがあったから</t>
  </si>
  <si>
    <t>⑥就活プラットフォーム（ワンキャリア、Unistyle、リクナビ、マイナビ、外資就活ドットコムなど）;⑬家族・友人・先輩からのクチコミ;⑨口コミ・評判サイト（OpenWork、みん就など）;</t>
  </si>
  <si>
    <t>当時はなぜかコンサル業界で就職することを決めで就活していたので業界単位で研究はしたことなく、個社単位で調べて興味があれば受けるの繰り返しだった記憶があります。</t>
  </si>
  <si>
    <t>⑬家族・友人・先輩からのクチコミ;⑭企業HP・採用サイト;</t>
  </si>
  <si>
    <t>Deloitte、PwC、AC、AB、MBB、ADL、ATK（コンサルはbig4以上のtierはだいたい見てると思われる）</t>
  </si>
  <si>
    <t>Deloitte、AC、AB</t>
  </si>
  <si>
    <t xml:space="preserve">まずは内定を狙えそうなところから練習する観点で外資戦コンを後回しにしてbig4あたりを優先して受けた。
結果、BDXが自分の就活軸に合致していたので就活を終了することとなり外資戦コンはほぼ受けず終了（受けても受からないだろう、みたいな気持ちもあった）
</t>
  </si>
  <si>
    <t>大学4年8月（休学中につき大学3年8月に相当）</t>
  </si>
  <si>
    <t>自身の企業選定の軸（成長環境、業界・業種特化ではない、裁量）に合致していることが外資就活の企業情報から読み取れたから</t>
  </si>
  <si>
    <t xml:space="preserve">23卒の選考フロー自体は、他社と大きく変わらない認識だった。
当時はまだコロナ禍だったこともあり、潮流に反して対面に拘っている印象はあった。
インターンでの社員のコミットメントの高さは他社と比べて特徴だったと思う。
</t>
  </si>
  <si>
    <t>有名企業に行きたいかつ早期に就活を始めている人は外資就活、4年4月から始める人はマイナビとかメジャーな媒体
同期と就活時期がずれててあまり分からないです、すみません</t>
    <phoneticPr fontId="1"/>
  </si>
  <si>
    <t>BDXについてネットで公開されている情報が本当に少なく、AB時代の記事を探して読み漁った。
コンサル業界とベンチャー志望というやや相反した軸を持っていたゆえに私は当社が就活初期から志望度が高めだったのだが、情報が少ないゆえに、たまに出ている情報がBDXそのままのイメージになると思う。もう少し就活生にコミットした記事があったほうがいいと思う。</t>
    <phoneticPr fontId="1"/>
  </si>
  <si>
    <t>給与水準;社風;転勤・異動の多さ;柔軟な働き方の制度・実態;実際の仕事内容;</t>
  </si>
  <si>
    <t>利用されないと思う。Ig,Youtube等のショート動画は本人の意思によらず、本人が好きそうな動画をプラットフォーム側がサジェストされるから次々スワイプしたくなる設計だと認識してます。ゆえに目的意識がある状態ではショートより検索で引っ掛かる長尺の動画の方が需要がありそう。</t>
    <phoneticPr fontId="1"/>
  </si>
  <si>
    <t>■回答者属性</t>
    <rPh sb="1" eb="4">
      <t>カイトウシャ</t>
    </rPh>
    <rPh sb="4" eb="6">
      <t>ゾクセイ</t>
    </rPh>
    <phoneticPr fontId="1"/>
  </si>
  <si>
    <t>入社年度</t>
    <rPh sb="0" eb="2">
      <t>ニュウシャ</t>
    </rPh>
    <rPh sb="2" eb="4">
      <t>ネンド</t>
    </rPh>
    <phoneticPr fontId="1"/>
  </si>
  <si>
    <t>対象人数</t>
    <rPh sb="0" eb="4">
      <t>タイショウニンズウ</t>
    </rPh>
    <phoneticPr fontId="1"/>
  </si>
  <si>
    <t>回答人数</t>
    <rPh sb="0" eb="4">
      <t>カイトウニンズ</t>
    </rPh>
    <phoneticPr fontId="1"/>
  </si>
  <si>
    <t>23卒</t>
    <rPh sb="2" eb="3">
      <t>ソツ</t>
    </rPh>
    <phoneticPr fontId="1"/>
  </si>
  <si>
    <t>24卒</t>
    <rPh sb="2" eb="3">
      <t>ソツ</t>
    </rPh>
    <phoneticPr fontId="1"/>
  </si>
  <si>
    <t>25卒</t>
    <rPh sb="2" eb="3">
      <t>ソツ</t>
    </rPh>
    <phoneticPr fontId="1"/>
  </si>
  <si>
    <t>26卒</t>
    <rPh sb="2" eb="3">
      <t>ソツ</t>
    </rPh>
    <phoneticPr fontId="1"/>
  </si>
  <si>
    <t>計</t>
    <rPh sb="0" eb="1">
      <t>ケイ</t>
    </rPh>
    <phoneticPr fontId="1"/>
  </si>
  <si>
    <t>回答率</t>
    <rPh sb="0" eb="3">
      <t>カイトウリツ</t>
    </rPh>
    <phoneticPr fontId="1"/>
  </si>
  <si>
    <t>■就職活動の開始時期</t>
    <rPh sb="1" eb="5">
      <t>シュウショクカツドウ</t>
    </rPh>
    <rPh sb="6" eb="10">
      <t>カイシジキ</t>
    </rPh>
    <phoneticPr fontId="1"/>
  </si>
  <si>
    <t>開始時期</t>
    <rPh sb="0" eb="4">
      <t>カイシジキ</t>
    </rPh>
    <phoneticPr fontId="1"/>
  </si>
  <si>
    <t>回答人数</t>
    <rPh sb="0" eb="4">
      <t>カイトウニンズウ</t>
    </rPh>
    <phoneticPr fontId="1"/>
  </si>
  <si>
    <t>大学２年12月</t>
    <rPh sb="0" eb="2">
      <t>ダイガク</t>
    </rPh>
    <rPh sb="3" eb="4">
      <t>ネン</t>
    </rPh>
    <rPh sb="6" eb="7">
      <t>ガツ</t>
    </rPh>
    <phoneticPr fontId="1"/>
  </si>
  <si>
    <t>大学3年（or大学院１年）4月</t>
    <rPh sb="0" eb="2">
      <t>ダイガク</t>
    </rPh>
    <rPh sb="3" eb="4">
      <t>ネン</t>
    </rPh>
    <rPh sb="7" eb="10">
      <t>ダイガクイン</t>
    </rPh>
    <rPh sb="11" eb="12">
      <t>ネン</t>
    </rPh>
    <rPh sb="14" eb="15">
      <t>ガツ</t>
    </rPh>
    <phoneticPr fontId="1"/>
  </si>
  <si>
    <t>大学3年（or大学院１年）5月</t>
    <rPh sb="0" eb="2">
      <t>ダイガク</t>
    </rPh>
    <rPh sb="3" eb="4">
      <t>ネン</t>
    </rPh>
    <rPh sb="7" eb="10">
      <t>ダイガクイン</t>
    </rPh>
    <rPh sb="11" eb="12">
      <t>ネン</t>
    </rPh>
    <rPh sb="14" eb="15">
      <t>ガツ</t>
    </rPh>
    <phoneticPr fontId="1"/>
  </si>
  <si>
    <t>大学3年（or大学院１年）6月</t>
    <rPh sb="0" eb="2">
      <t>ダイガク</t>
    </rPh>
    <rPh sb="3" eb="4">
      <t>ネン</t>
    </rPh>
    <rPh sb="7" eb="10">
      <t>ダイガクイン</t>
    </rPh>
    <rPh sb="11" eb="12">
      <t>ネン</t>
    </rPh>
    <rPh sb="14" eb="15">
      <t>ガツ</t>
    </rPh>
    <phoneticPr fontId="1"/>
  </si>
  <si>
    <t>大学3年（or大学院１年）7月</t>
    <rPh sb="0" eb="2">
      <t>ダイガク</t>
    </rPh>
    <rPh sb="3" eb="4">
      <t>ネン</t>
    </rPh>
    <rPh sb="7" eb="10">
      <t>ダイガクイン</t>
    </rPh>
    <rPh sb="11" eb="12">
      <t>ネン</t>
    </rPh>
    <rPh sb="14" eb="15">
      <t>ガツ</t>
    </rPh>
    <phoneticPr fontId="1"/>
  </si>
  <si>
    <t>大学3年（or大学院１年）8月</t>
    <rPh sb="0" eb="2">
      <t>ダイガク</t>
    </rPh>
    <rPh sb="3" eb="4">
      <t>ネン</t>
    </rPh>
    <rPh sb="7" eb="10">
      <t>ダイガクイン</t>
    </rPh>
    <rPh sb="11" eb="12">
      <t>ネン</t>
    </rPh>
    <rPh sb="14" eb="15">
      <t>ガツ</t>
    </rPh>
    <phoneticPr fontId="1"/>
  </si>
  <si>
    <t>大学3年（or大学院１年）9月</t>
    <rPh sb="0" eb="2">
      <t>ダイガク</t>
    </rPh>
    <rPh sb="3" eb="4">
      <t>ネン</t>
    </rPh>
    <rPh sb="7" eb="10">
      <t>ダイガクイン</t>
    </rPh>
    <rPh sb="11" eb="12">
      <t>ネン</t>
    </rPh>
    <rPh sb="14" eb="15">
      <t>ガツ</t>
    </rPh>
    <phoneticPr fontId="1"/>
  </si>
  <si>
    <t>大学3年（or大学院１年）10月</t>
    <rPh sb="0" eb="2">
      <t>ダイガク</t>
    </rPh>
    <rPh sb="3" eb="4">
      <t>ネン</t>
    </rPh>
    <rPh sb="7" eb="10">
      <t>ダイガクイン</t>
    </rPh>
    <rPh sb="11" eb="12">
      <t>ネン</t>
    </rPh>
    <rPh sb="15" eb="16">
      <t>ガツ</t>
    </rPh>
    <phoneticPr fontId="1"/>
  </si>
  <si>
    <t>竹之内</t>
    <rPh sb="0" eb="3">
      <t>タケノウチ</t>
    </rPh>
    <phoneticPr fontId="1"/>
  </si>
  <si>
    <t>大学3年（or大学院１年）11月</t>
    <rPh sb="0" eb="2">
      <t>ダイガク</t>
    </rPh>
    <rPh sb="3" eb="4">
      <t>ネン</t>
    </rPh>
    <rPh sb="7" eb="10">
      <t>ダイガクイン</t>
    </rPh>
    <rPh sb="11" eb="12">
      <t>ネン</t>
    </rPh>
    <rPh sb="15" eb="16">
      <t>ガツ</t>
    </rPh>
    <phoneticPr fontId="1"/>
  </si>
  <si>
    <t>大学3年（or大学院１年）12月</t>
    <rPh sb="0" eb="2">
      <t>ダイガク</t>
    </rPh>
    <rPh sb="3" eb="4">
      <t>ネン</t>
    </rPh>
    <rPh sb="7" eb="10">
      <t>ダイガクイン</t>
    </rPh>
    <rPh sb="11" eb="12">
      <t>ネン</t>
    </rPh>
    <rPh sb="15" eb="16">
      <t>ガツ</t>
    </rPh>
    <phoneticPr fontId="1"/>
  </si>
  <si>
    <t>大学3年（or大学院１年）1月</t>
    <rPh sb="0" eb="2">
      <t>ダイガク</t>
    </rPh>
    <rPh sb="3" eb="4">
      <t>ネン</t>
    </rPh>
    <rPh sb="7" eb="10">
      <t>ダイガクイン</t>
    </rPh>
    <rPh sb="11" eb="12">
      <t>ネン</t>
    </rPh>
    <rPh sb="14" eb="15">
      <t>ガツ</t>
    </rPh>
    <phoneticPr fontId="1"/>
  </si>
  <si>
    <t>大学3年（or大学院１年）2月</t>
    <rPh sb="0" eb="2">
      <t>ダイガク</t>
    </rPh>
    <rPh sb="3" eb="4">
      <t>ネン</t>
    </rPh>
    <rPh sb="7" eb="10">
      <t>ダイガクイン</t>
    </rPh>
    <rPh sb="11" eb="12">
      <t>ネン</t>
    </rPh>
    <rPh sb="14" eb="15">
      <t>ガツ</t>
    </rPh>
    <phoneticPr fontId="1"/>
  </si>
  <si>
    <t>髙濱</t>
    <rPh sb="0" eb="2">
      <t>タカハマ</t>
    </rPh>
    <phoneticPr fontId="1"/>
  </si>
  <si>
    <t>大学3年（or大学院１年）3月</t>
    <rPh sb="0" eb="2">
      <t>ダイガク</t>
    </rPh>
    <rPh sb="3" eb="4">
      <t>ネン</t>
    </rPh>
    <rPh sb="7" eb="10">
      <t>ダイガクイン</t>
    </rPh>
    <rPh sb="11" eb="12">
      <t>ネン</t>
    </rPh>
    <rPh sb="14" eb="15">
      <t>ガツ</t>
    </rPh>
    <phoneticPr fontId="1"/>
  </si>
  <si>
    <t>作田</t>
    <rPh sb="0" eb="2">
      <t>サクタ</t>
    </rPh>
    <phoneticPr fontId="1"/>
  </si>
  <si>
    <t>理由分類</t>
    <rPh sb="0" eb="4">
      <t>リユウブンルイ</t>
    </rPh>
    <phoneticPr fontId="1"/>
  </si>
  <si>
    <t>回答人数
（複数回答可）</t>
    <rPh sb="0" eb="4">
      <t>カイトウニンズウ</t>
    </rPh>
    <phoneticPr fontId="1"/>
  </si>
  <si>
    <t>理由詳細（抜粋）</t>
    <rPh sb="0" eb="4">
      <t>リユウショウサイ</t>
    </rPh>
    <rPh sb="5" eb="7">
      <t>バッスイ</t>
    </rPh>
    <phoneticPr fontId="1"/>
  </si>
  <si>
    <t>友人・家族の影響（身近な人からの影響）</t>
  </si>
  <si>
    <t xml:space="preserve">・周りが就活を始め出して就活の会話をするようになったため
・学部時代の友人にこの時期から就活始まるよと言われたため。
・姉から早く就活を始めたほうが良いという声があり、就活を始めました。
</t>
    <phoneticPr fontId="1"/>
  </si>
  <si>
    <t>SNS・イベント・団体の影響（外部情報からの刺激）</t>
  </si>
  <si>
    <t xml:space="preserve">・24卒向けの就活イベント・実際の選考が多く開催され始めたため
・選抜コミュニティの勧誘(alternative internship)をその時期にtwitter上で見つけたため。
・就活支援団体のInstagramアカウントを偶然発見したため。（内的動機はなく...）
・コンサル業界が夏に採用が活発化するイメージを持っていたから
・エンカレッジに所属している大学の先輩が就活相談を無料できる旨を、大学2年の3月に大学の学科ラインで共有され、動き出しやすい状態にあったから。
</t>
    <phoneticPr fontId="1"/>
  </si>
  <si>
    <t>インターンシップをきっかけ（インターン応募の影響）</t>
  </si>
  <si>
    <t>・夏インターンの応募時期だったため。
・コンサル業界を志望しており、各コンサルファームのサマーインターン申込時期が5~6月だったため。</t>
    <phoneticPr fontId="1"/>
  </si>
  <si>
    <t>自発的な興味・考えの変化（自己探求）</t>
    <rPh sb="0" eb="18">
      <t>ジコタンキュウ</t>
    </rPh>
    <phoneticPr fontId="1"/>
  </si>
  <si>
    <t xml:space="preserve">・ちょうど簿記の勉強をしていて、その際に「世の中にはどんな企業があるのかなー」と気になり企業調調査を始めたから
・もともとインターン先のVCに行こうと思っていた。しかし、上述の10月にその活動方針に違和感を覚えたため。
</t>
    <phoneticPr fontId="1"/>
  </si>
  <si>
    <t>早期内定・キャリアプランを意識（戦略的な動機）</t>
  </si>
  <si>
    <t xml:space="preserve">・周りにコンサルに就職した人がほとんどおらず、漠然と早めに始めておけば就職できそうと思っていたため＆３年生のうちに就活を終えて４年はwant to doを全て叶えたかったため
</t>
    <phoneticPr fontId="1"/>
  </si>
  <si>
    <t>■興味を持った業界</t>
    <rPh sb="1" eb="3">
      <t>キョウミ</t>
    </rPh>
    <rPh sb="4" eb="5">
      <t>モ</t>
    </rPh>
    <rPh sb="7" eb="9">
      <t>ギョウカイ</t>
    </rPh>
    <phoneticPr fontId="1"/>
  </si>
  <si>
    <t>業界</t>
    <rPh sb="0" eb="2">
      <t>ギョウカイ</t>
    </rPh>
    <phoneticPr fontId="1"/>
  </si>
  <si>
    <t>興味を持った理由</t>
    <rPh sb="0" eb="2">
      <t>キョウミ</t>
    </rPh>
    <rPh sb="3" eb="4">
      <t>モ</t>
    </rPh>
    <rPh sb="6" eb="8">
      <t>リユウ</t>
    </rPh>
    <phoneticPr fontId="1"/>
  </si>
  <si>
    <t>コンサル　※シンクタンク、FAS含む</t>
    <phoneticPr fontId="1"/>
  </si>
  <si>
    <r>
      <t>・特定の行きたい業界もなかったため、むしろ</t>
    </r>
    <r>
      <rPr>
        <b/>
        <u/>
        <sz val="10"/>
        <color theme="1"/>
        <rFont val="Meiryo UI"/>
        <family val="3"/>
        <charset val="128"/>
        <scheme val="minor"/>
      </rPr>
      <t>広範囲の業界と関われる仕事</t>
    </r>
    <r>
      <rPr>
        <sz val="10"/>
        <color theme="1"/>
        <rFont val="Meiryo UI"/>
        <family val="3"/>
        <charset val="128"/>
        <scheme val="minor"/>
      </rPr>
      <t>ができることに魅力を感じた
・</t>
    </r>
    <r>
      <rPr>
        <b/>
        <u/>
        <sz val="10"/>
        <color theme="1"/>
        <rFont val="Meiryo UI"/>
        <family val="3"/>
        <charset val="128"/>
        <scheme val="minor"/>
      </rPr>
      <t>経営に関わる能力を網羅的に取得できそう</t>
    </r>
    <r>
      <rPr>
        <sz val="10"/>
        <color theme="1"/>
        <rFont val="Meiryo UI"/>
        <family val="3"/>
        <charset val="128"/>
        <scheme val="minor"/>
      </rPr>
      <t>なイメージがあったから
・</t>
    </r>
    <r>
      <rPr>
        <b/>
        <u/>
        <sz val="10"/>
        <color theme="1"/>
        <rFont val="Meiryo UI"/>
        <family val="3"/>
        <charset val="128"/>
        <scheme val="minor"/>
      </rPr>
      <t>厳しく鍛えられそう</t>
    </r>
    <r>
      <rPr>
        <sz val="10"/>
        <color theme="1"/>
        <rFont val="Meiryo UI"/>
        <family val="3"/>
        <charset val="128"/>
        <scheme val="minor"/>
      </rPr>
      <t>な業界だと思っていた
・漠然と</t>
    </r>
    <r>
      <rPr>
        <b/>
        <u/>
        <sz val="10"/>
        <color theme="1"/>
        <rFont val="Meiryo UI"/>
        <family val="3"/>
        <charset val="128"/>
        <scheme val="minor"/>
      </rPr>
      <t>自身の市場価値を早く高められる</t>
    </r>
    <r>
      <rPr>
        <sz val="10"/>
        <color theme="1"/>
        <rFont val="Meiryo UI"/>
        <family val="3"/>
        <charset val="128"/>
        <scheme val="minor"/>
      </rPr>
      <t>ような職に就きたいと考えていたため
・仕事内容の手前で、東京拠点×職種が入社前に自分で決められる（</t>
    </r>
    <r>
      <rPr>
        <b/>
        <u/>
        <sz val="10"/>
        <color theme="1"/>
        <rFont val="Meiryo UI"/>
        <family val="3"/>
        <charset val="128"/>
        <scheme val="minor"/>
      </rPr>
      <t>配属ガチャが発生しない</t>
    </r>
    <r>
      <rPr>
        <sz val="10"/>
        <color theme="1"/>
        <rFont val="Meiryo UI"/>
        <family val="3"/>
        <charset val="128"/>
        <scheme val="minor"/>
      </rPr>
      <t>）×</t>
    </r>
    <r>
      <rPr>
        <b/>
        <u/>
        <sz val="10"/>
        <color theme="1"/>
        <rFont val="Meiryo UI"/>
        <family val="3"/>
        <charset val="128"/>
        <scheme val="minor"/>
      </rPr>
      <t>女性でもキャリアアップしていける業界</t>
    </r>
    <r>
      <rPr>
        <sz val="10"/>
        <color theme="1"/>
        <rFont val="Meiryo UI"/>
        <family val="3"/>
        <charset val="128"/>
        <scheme val="minor"/>
      </rPr>
      <t>の掛け算でだいぶ絞り込まれた
・</t>
    </r>
    <r>
      <rPr>
        <b/>
        <u/>
        <sz val="10"/>
        <color theme="1"/>
        <rFont val="Meiryo UI"/>
        <family val="3"/>
        <charset val="128"/>
        <scheme val="minor"/>
      </rPr>
      <t>答えのない問題を考えることが好き</t>
    </r>
    <r>
      <rPr>
        <sz val="10"/>
        <color theme="1"/>
        <rFont val="Meiryo UI"/>
        <family val="3"/>
        <charset val="128"/>
        <scheme val="minor"/>
      </rPr>
      <t>だったため（ケース問題を考えるのが好きだった）
・漠然とした</t>
    </r>
    <r>
      <rPr>
        <b/>
        <u/>
        <sz val="10"/>
        <color theme="1"/>
        <rFont val="Meiryo UI"/>
        <family val="3"/>
        <charset val="128"/>
        <scheme val="minor"/>
      </rPr>
      <t>成長できる環境がある</t>
    </r>
    <r>
      <rPr>
        <sz val="10"/>
        <color theme="1"/>
        <rFont val="Meiryo UI"/>
        <family val="3"/>
        <charset val="128"/>
        <scheme val="minor"/>
      </rPr>
      <t>のではないかと思っていた
・</t>
    </r>
    <r>
      <rPr>
        <b/>
        <u/>
        <sz val="10"/>
        <color theme="1"/>
        <rFont val="Meiryo UI"/>
        <family val="3"/>
        <charset val="128"/>
        <scheme val="minor"/>
      </rPr>
      <t>優秀な人が集まっている業界のイメージ</t>
    </r>
    <r>
      <rPr>
        <sz val="10"/>
        <color theme="1"/>
        <rFont val="Meiryo UI"/>
        <family val="3"/>
        <charset val="128"/>
        <scheme val="minor"/>
      </rPr>
      <t xml:space="preserve">がぼんやりあったため
</t>
    </r>
    <phoneticPr fontId="1"/>
  </si>
  <si>
    <t>メーカー</t>
    <phoneticPr fontId="1"/>
  </si>
  <si>
    <r>
      <t>・</t>
    </r>
    <r>
      <rPr>
        <b/>
        <u/>
        <sz val="10"/>
        <color theme="1"/>
        <rFont val="Meiryo UI"/>
        <family val="3"/>
        <charset val="128"/>
        <scheme val="minor"/>
      </rPr>
      <t>自分の研究領域を直接活かせる分</t>
    </r>
    <r>
      <rPr>
        <sz val="10"/>
        <color theme="1"/>
        <rFont val="Meiryo UI"/>
        <family val="3"/>
        <charset val="128"/>
        <scheme val="minor"/>
      </rPr>
      <t xml:space="preserve">野であったため（製薬）
・森岡氏の書籍を読んでおり、P&amp;Gに興味を持っていたから
</t>
    </r>
    <rPh sb="24" eb="26">
      <t>セイヤク</t>
    </rPh>
    <phoneticPr fontId="1"/>
  </si>
  <si>
    <t>金融</t>
    <rPh sb="0" eb="2">
      <t>キンユウ</t>
    </rPh>
    <phoneticPr fontId="1"/>
  </si>
  <si>
    <r>
      <t>・</t>
    </r>
    <r>
      <rPr>
        <b/>
        <u/>
        <sz val="10"/>
        <color theme="1"/>
        <rFont val="Meiryo UI"/>
        <family val="3"/>
        <charset val="128"/>
        <scheme val="minor"/>
      </rPr>
      <t>優秀な人が集まっている業界のイメージ</t>
    </r>
    <r>
      <rPr>
        <sz val="10"/>
        <color theme="1"/>
        <rFont val="Meiryo UI"/>
        <family val="3"/>
        <charset val="128"/>
        <scheme val="minor"/>
      </rPr>
      <t>がぼんやりあったため</t>
    </r>
    <phoneticPr fontId="1"/>
  </si>
  <si>
    <t>IT（SIer）</t>
    <phoneticPr fontId="1"/>
  </si>
  <si>
    <r>
      <t>・自身が情報系の学問を修めていたため、その知識を活用できるため。
・</t>
    </r>
    <r>
      <rPr>
        <b/>
        <u/>
        <sz val="10"/>
        <color theme="1"/>
        <rFont val="Meiryo UI"/>
        <family val="3"/>
        <charset val="128"/>
        <scheme val="minor"/>
      </rPr>
      <t>デジタルのポテンシャルに魅力を感じており</t>
    </r>
    <r>
      <rPr>
        <sz val="10"/>
        <color theme="1"/>
        <rFont val="Meiryo UI"/>
        <family val="3"/>
        <charset val="128"/>
        <scheme val="minor"/>
      </rPr>
      <t>、生かして業務などを効率化したいと考えていたため</t>
    </r>
    <phoneticPr fontId="1"/>
  </si>
  <si>
    <t>広告</t>
    <rPh sb="0" eb="2">
      <t>コウコク</t>
    </rPh>
    <phoneticPr fontId="1"/>
  </si>
  <si>
    <t>・デザインに関心があったため</t>
    <phoneticPr fontId="1"/>
  </si>
  <si>
    <t>教育</t>
    <rPh sb="0" eb="2">
      <t>キョウイク</t>
    </rPh>
    <phoneticPr fontId="1"/>
  </si>
  <si>
    <t>・教員は嫌だけど、教育は昔から好き</t>
    <phoneticPr fontId="1"/>
  </si>
  <si>
    <t>VC</t>
    <phoneticPr fontId="1"/>
  </si>
  <si>
    <t>・GAFA等を手ずから見つけ、JAPAN AS NO1の時代を取り戻すことができるため</t>
    <phoneticPr fontId="1"/>
  </si>
  <si>
    <t>■業界情報の収集方法</t>
    <rPh sb="1" eb="3">
      <t>ギョウカイ</t>
    </rPh>
    <rPh sb="3" eb="5">
      <t>ジョウホウ</t>
    </rPh>
    <rPh sb="6" eb="8">
      <t>シュウシュウ</t>
    </rPh>
    <rPh sb="8" eb="10">
      <t>ホウホウ</t>
    </rPh>
    <phoneticPr fontId="1"/>
  </si>
  <si>
    <t>媒体</t>
    <rPh sb="0" eb="2">
      <t>バイタイ</t>
    </rPh>
    <phoneticPr fontId="1"/>
  </si>
  <si>
    <t>具体的な媒体・イベント名</t>
    <rPh sb="0" eb="3">
      <t>グタイテキ</t>
    </rPh>
    <rPh sb="4" eb="6">
      <t>バイタイ</t>
    </rPh>
    <rPh sb="11" eb="12">
      <t>メイ</t>
    </rPh>
    <phoneticPr fontId="1"/>
  </si>
  <si>
    <t>左記媒体を知ったきっかけ</t>
    <rPh sb="0" eb="4">
      <t>サキバイタイ</t>
    </rPh>
    <rPh sb="5" eb="6">
      <t>シ</t>
    </rPh>
    <phoneticPr fontId="1"/>
  </si>
  <si>
    <t>就活プラットフォーム</t>
    <phoneticPr fontId="1"/>
  </si>
  <si>
    <t>・ワンキャリア（4名）</t>
    <phoneticPr fontId="1"/>
  </si>
  <si>
    <t>友人・先輩からの薦め、ビズリーチキャンパスで訪問したOBの薦め、ネット検索</t>
    <rPh sb="0" eb="2">
      <t>ユウジン</t>
    </rPh>
    <rPh sb="3" eb="5">
      <t>センパイ</t>
    </rPh>
    <rPh sb="8" eb="9">
      <t>スス</t>
    </rPh>
    <rPh sb="22" eb="24">
      <t>ホウモン</t>
    </rPh>
    <rPh sb="29" eb="30">
      <t>スス</t>
    </rPh>
    <rPh sb="35" eb="37">
      <t>ケンサク</t>
    </rPh>
    <phoneticPr fontId="1"/>
  </si>
  <si>
    <t>・外資就活ドットコム（4名）</t>
    <phoneticPr fontId="1"/>
  </si>
  <si>
    <t>友人・先輩からの薦め、Web検索、ネット調査</t>
    <phoneticPr fontId="1"/>
  </si>
  <si>
    <t>・リクナビ（1名）</t>
    <phoneticPr fontId="1"/>
  </si>
  <si>
    <t>ネット検索</t>
    <phoneticPr fontId="1"/>
  </si>
  <si>
    <t>・マイナビ（1名）</t>
    <phoneticPr fontId="1"/>
  </si>
  <si>
    <t>・OfferBox（1名）</t>
    <phoneticPr fontId="1"/>
  </si>
  <si>
    <t>友人の薦め</t>
    <rPh sb="0" eb="2">
      <t>ユウジン</t>
    </rPh>
    <rPh sb="3" eb="4">
      <t>スス</t>
    </rPh>
    <phoneticPr fontId="1"/>
  </si>
  <si>
    <t>・Goodfind（2名）</t>
    <rPh sb="11" eb="12">
      <t>メイ</t>
    </rPh>
    <phoneticPr fontId="1"/>
  </si>
  <si>
    <t>OB・OG訪問系プラットフォーム</t>
    <phoneticPr fontId="1"/>
  </si>
  <si>
    <t>・ビズリーチ・キャンパス（5名）</t>
    <rPh sb="14" eb="15">
      <t>メイ</t>
    </rPh>
    <phoneticPr fontId="1"/>
  </si>
  <si>
    <t>就活支援団体のメンターの薦め、インターンシップ先での友人からの薦め、ネット検索</t>
    <rPh sb="0" eb="6">
      <t>シュウカツシエンダンタイ</t>
    </rPh>
    <rPh sb="12" eb="13">
      <t>スス</t>
    </rPh>
    <rPh sb="23" eb="24">
      <t>サキ</t>
    </rPh>
    <rPh sb="26" eb="28">
      <t>ユウジン</t>
    </rPh>
    <rPh sb="31" eb="32">
      <t>スス</t>
    </rPh>
    <rPh sb="37" eb="39">
      <t>ケンサク</t>
    </rPh>
    <phoneticPr fontId="1"/>
  </si>
  <si>
    <t>・Matcher（1名）</t>
    <phoneticPr fontId="1"/>
  </si>
  <si>
    <t>インターンシップ先での友人からの薦め</t>
    <phoneticPr fontId="1"/>
  </si>
  <si>
    <t>・エンカレッジ（1名）</t>
    <rPh sb="9" eb="10">
      <t>メイ</t>
    </rPh>
    <phoneticPr fontId="1"/>
  </si>
  <si>
    <t>業界研究の書籍・雑誌</t>
    <phoneticPr fontId="1"/>
  </si>
  <si>
    <t>・会社四季報</t>
    <rPh sb="1" eb="3">
      <t>カイシャ</t>
    </rPh>
    <phoneticPr fontId="1"/>
  </si>
  <si>
    <t>大学の先輩からの薦め、本屋で発見、父からの薦め</t>
    <rPh sb="0" eb="2">
      <t>ダイガク</t>
    </rPh>
    <rPh sb="3" eb="5">
      <t>センパイ</t>
    </rPh>
    <rPh sb="8" eb="9">
      <t>スス</t>
    </rPh>
    <rPh sb="11" eb="13">
      <t>ホンヤ</t>
    </rPh>
    <rPh sb="14" eb="16">
      <t>ハッケン</t>
    </rPh>
    <rPh sb="17" eb="18">
      <t>チチ</t>
    </rPh>
    <rPh sb="21" eb="22">
      <t>スス</t>
    </rPh>
    <phoneticPr fontId="1"/>
  </si>
  <si>
    <t>・就職四季報（３名）</t>
    <phoneticPr fontId="1"/>
  </si>
  <si>
    <t>大学の先輩からの薦め、本屋で発見</t>
    <phoneticPr fontId="1"/>
  </si>
  <si>
    <t>・日経業界地図（3名）</t>
    <phoneticPr fontId="1"/>
  </si>
  <si>
    <t>Google検索、ネット情報</t>
    <phoneticPr fontId="1"/>
  </si>
  <si>
    <t>・コンサル業界大研究（1名）</t>
    <phoneticPr fontId="1"/>
  </si>
  <si>
    <t>・コンサル業界大解剖（1名）</t>
    <phoneticPr fontId="1"/>
  </si>
  <si>
    <t xml:space="preserve"> SNS</t>
    <phoneticPr fontId="1"/>
  </si>
  <si>
    <t>・X（旧Twitter）（3名）</t>
    <phoneticPr fontId="1"/>
  </si>
  <si>
    <t>ネット検索、他校の人のツイート</t>
    <rPh sb="3" eb="5">
      <t>ケンサク</t>
    </rPh>
    <rPh sb="6" eb="8">
      <t>タコウ</t>
    </rPh>
    <rPh sb="9" eb="10">
      <t>ヒト</t>
    </rPh>
    <phoneticPr fontId="1"/>
  </si>
  <si>
    <t>・Instagram（1名）</t>
    <phoneticPr fontId="1"/>
  </si>
  <si>
    <t>自発的に</t>
    <rPh sb="0" eb="3">
      <t>ジハツテキ</t>
    </rPh>
    <phoneticPr fontId="1"/>
  </si>
  <si>
    <t>・YouTube（2名）</t>
    <phoneticPr fontId="1"/>
  </si>
  <si>
    <t>Newspicks、Pivotチャンネル</t>
    <phoneticPr fontId="1"/>
  </si>
  <si>
    <t>口コミ・評判サイト</t>
    <rPh sb="0" eb="1">
      <t>クチ</t>
    </rPh>
    <rPh sb="4" eb="6">
      <t>ヒョウバン</t>
    </rPh>
    <phoneticPr fontId="1"/>
  </si>
  <si>
    <t>・OpenWork（3名）</t>
    <phoneticPr fontId="1"/>
  </si>
  <si>
    <t>就活支援団体のメンターの薦め、ネット検索</t>
    <rPh sb="0" eb="6">
      <t>シュウカツシエンダンタイ</t>
    </rPh>
    <rPh sb="12" eb="13">
      <t>スス</t>
    </rPh>
    <rPh sb="18" eb="20">
      <t>ケンサク</t>
    </rPh>
    <phoneticPr fontId="1"/>
  </si>
  <si>
    <t>・みんなの就活（1名）</t>
    <phoneticPr fontId="1"/>
  </si>
  <si>
    <t>ネット検索</t>
    <rPh sb="3" eb="5">
      <t>ケンサク</t>
    </rPh>
    <phoneticPr fontId="1"/>
  </si>
  <si>
    <t>就活イベント・合同説明会</t>
    <phoneticPr fontId="1"/>
  </si>
  <si>
    <t>・知るカフェ（各大学にある無料のカフェ、カフェ内で企業の宣伝をすることで運営、イベントも実施）（１名）
※他、プラットフォーム主催のイベントが３件
（⇒プラットフォーム側の「具体的な媒体名」へ取扱い移行）</t>
    <rPh sb="49" eb="50">
      <t>メイ</t>
    </rPh>
    <rPh sb="53" eb="54">
      <t>ホカ</t>
    </rPh>
    <rPh sb="63" eb="65">
      <t>シュサイ</t>
    </rPh>
    <rPh sb="72" eb="73">
      <t>ケン</t>
    </rPh>
    <rPh sb="84" eb="85">
      <t>ガワ</t>
    </rPh>
    <rPh sb="87" eb="90">
      <t>グタイテキ</t>
    </rPh>
    <rPh sb="91" eb="94">
      <t>バイタイメイ</t>
    </rPh>
    <rPh sb="96" eb="97">
      <t>トリ</t>
    </rPh>
    <rPh sb="97" eb="98">
      <t>アツカ</t>
    </rPh>
    <rPh sb="99" eb="101">
      <t>イコウ</t>
    </rPh>
    <phoneticPr fontId="1"/>
  </si>
  <si>
    <t>ネット記事</t>
    <rPh sb="3" eb="5">
      <t>キジ</t>
    </rPh>
    <phoneticPr fontId="1"/>
  </si>
  <si>
    <t>NewsPicks（3名）</t>
    <phoneticPr fontId="1"/>
  </si>
  <si>
    <t>CM（テレビ、オンライン広告）</t>
    <rPh sb="12" eb="14">
      <t>コウコク</t>
    </rPh>
    <phoneticPr fontId="1"/>
  </si>
  <si>
    <t>一般ニュース・メディア</t>
    <phoneticPr fontId="1"/>
  </si>
  <si>
    <t>・日経新聞（3名）</t>
    <rPh sb="1" eb="5">
      <t>ニッケイシンブン</t>
    </rPh>
    <phoneticPr fontId="1"/>
  </si>
  <si>
    <t>・自発的に
・父からの薦め</t>
    <rPh sb="1" eb="4">
      <t>ジハツテキ</t>
    </rPh>
    <rPh sb="7" eb="8">
      <t>チチ</t>
    </rPh>
    <rPh sb="11" eb="12">
      <t>スス</t>
    </rPh>
    <phoneticPr fontId="1"/>
  </si>
  <si>
    <t>家族・友人・先輩からのクチコミ</t>
    <phoneticPr fontId="1"/>
  </si>
  <si>
    <t>・先輩からの各企業の内定者の紹介（1名）</t>
    <rPh sb="18" eb="19">
      <t>メイ</t>
    </rPh>
    <phoneticPr fontId="1"/>
  </si>
  <si>
    <t>・父（1名）</t>
    <phoneticPr fontId="1"/>
  </si>
  <si>
    <t>大学のキャリアセンター</t>
    <rPh sb="0" eb="2">
      <t>ダイガク</t>
    </rPh>
    <phoneticPr fontId="1"/>
  </si>
  <si>
    <t>・OB訪問、企業説明会（1名）</t>
    <rPh sb="13" eb="14">
      <t>メイ</t>
    </rPh>
    <phoneticPr fontId="1"/>
  </si>
  <si>
    <t>ビジネス雑誌</t>
    <rPh sb="4" eb="6">
      <t>ザッシ</t>
    </rPh>
    <phoneticPr fontId="1"/>
  </si>
  <si>
    <t>就活向け書籍・雑誌</t>
    <rPh sb="0" eb="3">
      <t>シュウカツム</t>
    </rPh>
    <rPh sb="4" eb="6">
      <t>ショセキ</t>
    </rPh>
    <rPh sb="7" eb="9">
      <t>ザッシ</t>
    </rPh>
    <phoneticPr fontId="1"/>
  </si>
  <si>
    <t>ゼミ・研究室からの紹介・推薦</t>
    <rPh sb="3" eb="6">
      <t>ケンキュウシツ</t>
    </rPh>
    <rPh sb="9" eb="11">
      <t>ショウカイ</t>
    </rPh>
    <rPh sb="12" eb="14">
      <t>スイセン</t>
    </rPh>
    <phoneticPr fontId="1"/>
  </si>
  <si>
    <t>■業界研究を行った業界・具体的な企業</t>
    <rPh sb="1" eb="5">
      <t>ギョウカイケンキュウ</t>
    </rPh>
    <rPh sb="6" eb="7">
      <t>オコナ</t>
    </rPh>
    <rPh sb="9" eb="11">
      <t>ギョウカイ</t>
    </rPh>
    <rPh sb="12" eb="15">
      <t>グタイテキ</t>
    </rPh>
    <rPh sb="16" eb="18">
      <t>キギョウ</t>
    </rPh>
    <phoneticPr fontId="1"/>
  </si>
  <si>
    <t>興味を持った理由（抜粋）</t>
    <rPh sb="0" eb="2">
      <t>キョウミ</t>
    </rPh>
    <rPh sb="3" eb="4">
      <t>モ</t>
    </rPh>
    <rPh sb="6" eb="8">
      <t>リユウ</t>
    </rPh>
    <rPh sb="9" eb="11">
      <t>バッスイ</t>
    </rPh>
    <phoneticPr fontId="1"/>
  </si>
  <si>
    <t>情報収集を行った具体的な企業名
（各業界で回答が多かったもののみ）</t>
    <rPh sb="0" eb="4">
      <t>ジョウホウシュウシュウ</t>
    </rPh>
    <rPh sb="5" eb="6">
      <t>オコナ</t>
    </rPh>
    <rPh sb="8" eb="11">
      <t>グタイテキ</t>
    </rPh>
    <rPh sb="12" eb="15">
      <t>キギョウメイ</t>
    </rPh>
    <rPh sb="17" eb="20">
      <t>カクギョウカイ</t>
    </rPh>
    <rPh sb="21" eb="23">
      <t>カイトウ</t>
    </rPh>
    <rPh sb="24" eb="25">
      <t>オオ</t>
    </rPh>
    <phoneticPr fontId="1"/>
  </si>
  <si>
    <r>
      <t>・</t>
    </r>
    <r>
      <rPr>
        <b/>
        <u/>
        <sz val="10"/>
        <color theme="1"/>
        <rFont val="Meiryo UI"/>
        <family val="3"/>
        <charset val="128"/>
        <scheme val="minor"/>
      </rPr>
      <t>若手から経営層と直接対峙し、意思決定に関与できる環境</t>
    </r>
    <r>
      <rPr>
        <sz val="10"/>
        <color theme="1"/>
        <rFont val="Meiryo UI"/>
        <family val="3"/>
        <charset val="128"/>
        <scheme val="minor"/>
      </rPr>
      <t>に魅力を感じた。
・複数業界の知識や問題解決能力を身につけられ、</t>
    </r>
    <r>
      <rPr>
        <b/>
        <u/>
        <sz val="10"/>
        <color theme="1"/>
        <rFont val="Meiryo UI"/>
        <family val="3"/>
        <charset val="128"/>
        <scheme val="minor"/>
      </rPr>
      <t>将来的なキャリアの選択肢が広がる</t>
    </r>
    <r>
      <rPr>
        <sz val="10"/>
        <color theme="1"/>
        <rFont val="Meiryo UI"/>
        <family val="3"/>
        <charset val="128"/>
        <scheme val="minor"/>
      </rPr>
      <t>と考えた。
・</t>
    </r>
    <r>
      <rPr>
        <b/>
        <u/>
        <sz val="10"/>
        <color theme="1"/>
        <rFont val="Meiryo UI"/>
        <family val="3"/>
        <charset val="128"/>
        <scheme val="minor"/>
      </rPr>
      <t>固定的な物売りでないビジネスモデル</t>
    </r>
    <r>
      <rPr>
        <sz val="10"/>
        <color theme="1"/>
        <rFont val="Meiryo UI"/>
        <family val="3"/>
        <charset val="128"/>
        <scheme val="minor"/>
      </rPr>
      <t>であり、自分の思想と一致した。
・</t>
    </r>
    <r>
      <rPr>
        <b/>
        <u/>
        <sz val="10"/>
        <color theme="1"/>
        <rFont val="Meiryo UI"/>
        <family val="3"/>
        <charset val="128"/>
        <scheme val="minor"/>
      </rPr>
      <t>年功序列よりも成果に基づいた評価</t>
    </r>
    <r>
      <rPr>
        <sz val="10"/>
        <color theme="1"/>
        <rFont val="Meiryo UI"/>
        <family val="3"/>
        <charset val="128"/>
        <scheme val="minor"/>
      </rPr>
      <t>があり、</t>
    </r>
    <r>
      <rPr>
        <b/>
        <u/>
        <sz val="10"/>
        <color theme="1"/>
        <rFont val="Meiryo UI"/>
        <family val="3"/>
        <charset val="128"/>
        <scheme val="minor"/>
      </rPr>
      <t>実力次第で早期に成長できる環境</t>
    </r>
    <r>
      <rPr>
        <sz val="10"/>
        <color theme="1"/>
        <rFont val="Meiryo UI"/>
        <family val="3"/>
        <charset val="128"/>
        <scheme val="minor"/>
      </rPr>
      <t>を求めた。
・学生時代の長期インターンやケースコンペの経験から、調査・資料作成・提案といった業務に興味を持った。
・</t>
    </r>
    <r>
      <rPr>
        <b/>
        <u/>
        <sz val="10"/>
        <color theme="1"/>
        <rFont val="Meiryo UI"/>
        <family val="3"/>
        <charset val="128"/>
        <scheme val="minor"/>
      </rPr>
      <t>優秀な人材と働ける環境</t>
    </r>
    <r>
      <rPr>
        <sz val="10"/>
        <color theme="1"/>
        <rFont val="Meiryo UI"/>
        <family val="3"/>
        <charset val="128"/>
        <scheme val="minor"/>
      </rPr>
      <t xml:space="preserve">に惹かれた。
</t>
    </r>
    <phoneticPr fontId="1"/>
  </si>
  <si>
    <t xml:space="preserve">・BCG（7名）
・デロイト（6名）
・マッキンゼー（5名）
・アクセンチュア（5名）
・ベイカレント（５名）
・PwC（4名）
・KPMG（4名）
・EY（4名）
・アビーム（4名）
・ベイン（3名）
・野村総研（3名）
・B&amp;DX（3名）
</t>
    <rPh sb="6" eb="7">
      <t>メイ</t>
    </rPh>
    <rPh sb="28" eb="29">
      <t>メイ</t>
    </rPh>
    <rPh sb="99" eb="100">
      <t>メイ</t>
    </rPh>
    <rPh sb="103" eb="105">
      <t>ノムラ</t>
    </rPh>
    <rPh sb="105" eb="107">
      <t>ソウケン</t>
    </rPh>
    <rPh sb="109" eb="110">
      <t>メイ</t>
    </rPh>
    <phoneticPr fontId="1"/>
  </si>
  <si>
    <t>総合商社</t>
    <rPh sb="0" eb="4">
      <t>ソウゴウショウシャ</t>
    </rPh>
    <phoneticPr fontId="1"/>
  </si>
  <si>
    <r>
      <t xml:space="preserve">・ </t>
    </r>
    <r>
      <rPr>
        <b/>
        <u/>
        <sz val="10"/>
        <color theme="1"/>
        <rFont val="Meiryo UI"/>
        <family val="3"/>
        <charset val="128"/>
        <scheme val="minor"/>
      </rPr>
      <t>国内外のビジネスを推進し、大規模なプロジェクトに関わる機会がある</t>
    </r>
    <r>
      <rPr>
        <sz val="10"/>
        <color theme="1"/>
        <rFont val="Meiryo UI"/>
        <family val="3"/>
        <charset val="128"/>
        <scheme val="minor"/>
      </rPr>
      <t>点に魅力を感じた。
・</t>
    </r>
    <r>
      <rPr>
        <b/>
        <u/>
        <sz val="10"/>
        <color theme="1"/>
        <rFont val="Meiryo UI"/>
        <family val="3"/>
        <charset val="128"/>
        <scheme val="minor"/>
      </rPr>
      <t>レベルの高いアウトプット</t>
    </r>
    <r>
      <rPr>
        <sz val="10"/>
        <color theme="1"/>
        <rFont val="Meiryo UI"/>
        <family val="3"/>
        <charset val="128"/>
        <scheme val="minor"/>
      </rPr>
      <t>が求められ、</t>
    </r>
    <r>
      <rPr>
        <b/>
        <u/>
        <sz val="10"/>
        <color theme="1"/>
        <rFont val="Meiryo UI"/>
        <family val="3"/>
        <charset val="128"/>
        <scheme val="minor"/>
      </rPr>
      <t>優秀な人と切磋琢磨できる環境</t>
    </r>
    <r>
      <rPr>
        <sz val="10"/>
        <color theme="1"/>
        <rFont val="Meiryo UI"/>
        <family val="3"/>
        <charset val="128"/>
        <scheme val="minor"/>
      </rPr>
      <t>を求めた。
・海外ビジネスや資源・インフラに関わる機会が多く、</t>
    </r>
    <r>
      <rPr>
        <b/>
        <u/>
        <sz val="10"/>
        <color theme="1"/>
        <rFont val="Meiryo UI"/>
        <family val="3"/>
        <charset val="128"/>
        <scheme val="minor"/>
      </rPr>
      <t>グローバルに働きたい</t>
    </r>
    <r>
      <rPr>
        <sz val="10"/>
        <color theme="1"/>
        <rFont val="Meiryo UI"/>
        <family val="3"/>
        <charset val="128"/>
        <scheme val="minor"/>
      </rPr>
      <t xml:space="preserve">という志向と合致した。
</t>
    </r>
    <phoneticPr fontId="1"/>
  </si>
  <si>
    <t>・三菱商事（3名）
・三井物産（3名）</t>
    <rPh sb="1" eb="5">
      <t>ミツビシショウジ</t>
    </rPh>
    <rPh sb="7" eb="8">
      <t>メイ</t>
    </rPh>
    <rPh sb="11" eb="15">
      <t>ミツイブッサン</t>
    </rPh>
    <rPh sb="17" eb="18">
      <t>メイ</t>
    </rPh>
    <phoneticPr fontId="1"/>
  </si>
  <si>
    <r>
      <t>・市場や経済の動向を理解し、</t>
    </r>
    <r>
      <rPr>
        <b/>
        <u/>
        <sz val="10"/>
        <color theme="1"/>
        <rFont val="Meiryo UI"/>
        <family val="3"/>
        <charset val="128"/>
        <scheme val="minor"/>
      </rPr>
      <t>グローバルな視点で働ける業界</t>
    </r>
    <r>
      <rPr>
        <sz val="10"/>
        <color theme="1"/>
        <rFont val="Meiryo UI"/>
        <family val="3"/>
        <charset val="128"/>
        <scheme val="minor"/>
      </rPr>
      <t>に魅力を感じた。
・企業の資金調達や投資に関わることで、</t>
    </r>
    <r>
      <rPr>
        <b/>
        <u/>
        <sz val="10"/>
        <color theme="1"/>
        <rFont val="Meiryo UI"/>
        <family val="3"/>
        <charset val="128"/>
        <scheme val="minor"/>
      </rPr>
      <t>経済全体に影響を与えられる</t>
    </r>
    <r>
      <rPr>
        <sz val="10"/>
        <color theme="1"/>
        <rFont val="Meiryo UI"/>
        <family val="3"/>
        <charset val="128"/>
        <scheme val="minor"/>
      </rPr>
      <t>点に関心を持った。
・証券・銀行業界では</t>
    </r>
    <r>
      <rPr>
        <b/>
        <u/>
        <sz val="10"/>
        <color theme="1"/>
        <rFont val="Meiryo UI"/>
        <family val="3"/>
        <charset val="128"/>
        <scheme val="minor"/>
      </rPr>
      <t>顧客の意思決定をサポートするコンサル的な要素がある</t>
    </r>
    <r>
      <rPr>
        <sz val="10"/>
        <color theme="1"/>
        <rFont val="Meiryo UI"/>
        <family val="3"/>
        <charset val="128"/>
        <scheme val="minor"/>
      </rPr>
      <t>と感じた。
・</t>
    </r>
    <r>
      <rPr>
        <b/>
        <u/>
        <sz val="10"/>
        <color theme="1"/>
        <rFont val="Meiryo UI"/>
        <family val="3"/>
        <charset val="128"/>
        <scheme val="minor"/>
      </rPr>
      <t>家族が金融業界に勤務しており、身近な業界</t>
    </r>
    <r>
      <rPr>
        <sz val="10"/>
        <color theme="1"/>
        <rFont val="Meiryo UI"/>
        <family val="3"/>
        <charset val="128"/>
        <scheme val="minor"/>
      </rPr>
      <t xml:space="preserve">として興味を持った。
</t>
    </r>
    <phoneticPr fontId="1"/>
  </si>
  <si>
    <t>・野村證券（3名）
・大和証券（2名）
・みずほ証券（2名）
・ゴールドマンサックス（2名）
・モルガンスタンレー（2名）</t>
    <rPh sb="1" eb="5">
      <t>ノムラショウケン</t>
    </rPh>
    <rPh sb="7" eb="8">
      <t>メイ</t>
    </rPh>
    <rPh sb="11" eb="15">
      <t>ダイワショウケン</t>
    </rPh>
    <rPh sb="17" eb="18">
      <t>メイ</t>
    </rPh>
    <rPh sb="24" eb="26">
      <t>ショウケン</t>
    </rPh>
    <rPh sb="28" eb="29">
      <t>メイ</t>
    </rPh>
    <rPh sb="44" eb="45">
      <t>メイ</t>
    </rPh>
    <rPh sb="59" eb="60">
      <t>メイ</t>
    </rPh>
    <phoneticPr fontId="1"/>
  </si>
  <si>
    <r>
      <t>・</t>
    </r>
    <r>
      <rPr>
        <b/>
        <u/>
        <sz val="10"/>
        <color theme="1"/>
        <rFont val="Meiryo UI"/>
        <family val="3"/>
        <charset val="128"/>
        <scheme val="minor"/>
      </rPr>
      <t>自身の研究分野を活かせる</t>
    </r>
    <r>
      <rPr>
        <sz val="10"/>
        <color theme="1"/>
        <rFont val="Meiryo UI"/>
        <family val="3"/>
        <charset val="128"/>
        <scheme val="minor"/>
      </rPr>
      <t>業界であり、特に製薬・化学・自動車分野に興味を持った。
・</t>
    </r>
    <r>
      <rPr>
        <b/>
        <u/>
        <sz val="10"/>
        <color theme="1"/>
        <rFont val="Meiryo UI"/>
        <family val="3"/>
        <charset val="128"/>
        <scheme val="minor"/>
      </rPr>
      <t>ものづくりのプロセスに関わり、社会に直接影響を与えられる</t>
    </r>
    <r>
      <rPr>
        <sz val="10"/>
        <color theme="1"/>
        <rFont val="Meiryo UI"/>
        <family val="3"/>
        <charset val="128"/>
        <scheme val="minor"/>
      </rPr>
      <t>点が魅力的だった。
・技術革新やR&amp;D（研究開発）の分野で、</t>
    </r>
    <r>
      <rPr>
        <b/>
        <u/>
        <sz val="10"/>
        <color theme="1"/>
        <rFont val="Meiryo UI"/>
        <family val="3"/>
        <charset val="128"/>
        <scheme val="minor"/>
      </rPr>
      <t>自分の専門性を高めたい</t>
    </r>
    <r>
      <rPr>
        <sz val="10"/>
        <color theme="1"/>
        <rFont val="Meiryo UI"/>
        <family val="3"/>
        <charset val="128"/>
        <scheme val="minor"/>
      </rPr>
      <t xml:space="preserve">と考えた。
</t>
    </r>
    <phoneticPr fontId="1"/>
  </si>
  <si>
    <t>・P&amp;G（２名）
・キーエンス（２名）</t>
    <rPh sb="6" eb="7">
      <t>メイ</t>
    </rPh>
    <rPh sb="17" eb="18">
      <t>メイ</t>
    </rPh>
    <phoneticPr fontId="1"/>
  </si>
  <si>
    <t>IT・通信</t>
    <rPh sb="3" eb="5">
      <t>ツウシン</t>
    </rPh>
    <phoneticPr fontId="1"/>
  </si>
  <si>
    <r>
      <t>・デジタル技術の発展に伴い、</t>
    </r>
    <r>
      <rPr>
        <b/>
        <u/>
        <sz val="10"/>
        <color theme="1"/>
        <rFont val="Meiryo UI"/>
        <family val="3"/>
        <charset val="128"/>
        <scheme val="minor"/>
      </rPr>
      <t>幅広い業界に影響を与える業界としての可能性</t>
    </r>
    <r>
      <rPr>
        <sz val="10"/>
        <color theme="1"/>
        <rFont val="Meiryo UI"/>
        <family val="3"/>
        <charset val="128"/>
        <scheme val="minor"/>
      </rPr>
      <t>に魅力を感じた。
・</t>
    </r>
    <r>
      <rPr>
        <b/>
        <u/>
        <sz val="10"/>
        <color theme="1"/>
        <rFont val="Meiryo UI"/>
        <family val="3"/>
        <charset val="128"/>
        <scheme val="minor"/>
      </rPr>
      <t>DXや業務効率化に貢献できる仕事</t>
    </r>
    <r>
      <rPr>
        <sz val="10"/>
        <color theme="1"/>
        <rFont val="Meiryo UI"/>
        <family val="3"/>
        <charset val="128"/>
        <scheme val="minor"/>
      </rPr>
      <t>に興味を持った。
・情報系の学問を修めていたため、</t>
    </r>
    <r>
      <rPr>
        <b/>
        <u/>
        <sz val="10"/>
        <color theme="1"/>
        <rFont val="Meiryo UI"/>
        <family val="3"/>
        <charset val="128"/>
        <scheme val="minor"/>
      </rPr>
      <t>自身の知識を活かせる職種</t>
    </r>
    <r>
      <rPr>
        <sz val="10"/>
        <color theme="1"/>
        <rFont val="Meiryo UI"/>
        <family val="3"/>
        <charset val="128"/>
        <scheme val="minor"/>
      </rPr>
      <t>を希望した。
・ITコンサルやSIerも視野に入れており、</t>
    </r>
    <r>
      <rPr>
        <b/>
        <u/>
        <sz val="10"/>
        <color theme="1"/>
        <rFont val="Meiryo UI"/>
        <family val="3"/>
        <charset val="128"/>
        <scheme val="minor"/>
      </rPr>
      <t>コンサルとエンジニアリングの両方の視点で業界を研究</t>
    </r>
    <r>
      <rPr>
        <sz val="10"/>
        <color theme="1"/>
        <rFont val="Meiryo UI"/>
        <family val="3"/>
        <charset val="128"/>
        <scheme val="minor"/>
      </rPr>
      <t xml:space="preserve">した。
</t>
    </r>
    <phoneticPr fontId="1"/>
  </si>
  <si>
    <t>・NTTデータ（3名）
・ドコモ（１名）</t>
    <rPh sb="9" eb="10">
      <t>メイ</t>
    </rPh>
    <rPh sb="18" eb="19">
      <t>メイ</t>
    </rPh>
    <phoneticPr fontId="1"/>
  </si>
  <si>
    <t>広告・マスコミ</t>
    <rPh sb="0" eb="2">
      <t>コウコク</t>
    </rPh>
    <phoneticPr fontId="1"/>
  </si>
  <si>
    <r>
      <t>・</t>
    </r>
    <r>
      <rPr>
        <b/>
        <u/>
        <sz val="10"/>
        <color theme="1"/>
        <rFont val="Meiryo UI"/>
        <family val="3"/>
        <charset val="128"/>
        <scheme val="minor"/>
      </rPr>
      <t>マーケティングやクリエイティブな仕事</t>
    </r>
    <r>
      <rPr>
        <sz val="10"/>
        <color theme="1"/>
        <rFont val="Meiryo UI"/>
        <family val="3"/>
        <charset val="128"/>
        <scheme val="minor"/>
      </rPr>
      <t>に関心があった。
・</t>
    </r>
    <r>
      <rPr>
        <b/>
        <u/>
        <sz val="10"/>
        <color theme="1"/>
        <rFont val="Meiryo UI"/>
        <family val="3"/>
        <charset val="128"/>
        <scheme val="minor"/>
      </rPr>
      <t>データ分析やブランディング</t>
    </r>
    <r>
      <rPr>
        <sz val="10"/>
        <color theme="1"/>
        <rFont val="Meiryo UI"/>
        <family val="3"/>
        <charset val="128"/>
        <scheme val="minor"/>
      </rPr>
      <t>の分野で、戦略的な仕事をしたいと考えた。
・</t>
    </r>
    <r>
      <rPr>
        <b/>
        <u/>
        <sz val="10"/>
        <color theme="1"/>
        <rFont val="Meiryo UI"/>
        <family val="3"/>
        <charset val="128"/>
        <scheme val="minor"/>
      </rPr>
      <t>メディア業界の社会的影響力</t>
    </r>
    <r>
      <rPr>
        <sz val="10"/>
        <color theme="1"/>
        <rFont val="Meiryo UI"/>
        <family val="3"/>
        <charset val="128"/>
        <scheme val="minor"/>
      </rPr>
      <t xml:space="preserve">に魅力を感じた。
</t>
    </r>
    <phoneticPr fontId="1"/>
  </si>
  <si>
    <t>・博報堂（3名）
・電通（2名）</t>
    <rPh sb="1" eb="4">
      <t>ハクホウドウ</t>
    </rPh>
    <rPh sb="6" eb="7">
      <t>メイ</t>
    </rPh>
    <rPh sb="10" eb="12">
      <t>デンツウ</t>
    </rPh>
    <rPh sb="14" eb="15">
      <t>メイ</t>
    </rPh>
    <phoneticPr fontId="1"/>
  </si>
  <si>
    <t>官公庁・公務員</t>
    <rPh sb="0" eb="3">
      <t>カンコウチョウ</t>
    </rPh>
    <rPh sb="4" eb="7">
      <t>コウムイン</t>
    </rPh>
    <phoneticPr fontId="1"/>
  </si>
  <si>
    <r>
      <t>・</t>
    </r>
    <r>
      <rPr>
        <b/>
        <u/>
        <sz val="10"/>
        <color theme="1"/>
        <rFont val="Meiryo UI"/>
        <family val="3"/>
        <charset val="128"/>
        <scheme val="minor"/>
      </rPr>
      <t>専攻</t>
    </r>
    <r>
      <rPr>
        <sz val="10"/>
        <color theme="1"/>
        <rFont val="Meiryo UI"/>
        <family val="3"/>
        <charset val="128"/>
        <scheme val="minor"/>
      </rPr>
      <t>の安全保障に仕事として携われる点に魅力を感じた。
・</t>
    </r>
    <r>
      <rPr>
        <b/>
        <u/>
        <sz val="10"/>
        <color theme="1"/>
        <rFont val="Meiryo UI"/>
        <family val="3"/>
        <charset val="128"/>
        <scheme val="minor"/>
      </rPr>
      <t>幅広く業界を見てみたかった</t>
    </r>
    <r>
      <rPr>
        <sz val="10"/>
        <color theme="1"/>
        <rFont val="Meiryo UI"/>
        <family val="3"/>
        <charset val="128"/>
        <scheme val="minor"/>
      </rPr>
      <t xml:space="preserve">。
</t>
    </r>
    <rPh sb="1" eb="3">
      <t>センコウ</t>
    </rPh>
    <rPh sb="29" eb="31">
      <t>ハバヒロ</t>
    </rPh>
    <rPh sb="32" eb="34">
      <t>ギョウカイ</t>
    </rPh>
    <rPh sb="35" eb="36">
      <t>ミ</t>
    </rPh>
    <phoneticPr fontId="1"/>
  </si>
  <si>
    <t>■業界・企業の情報収集方法</t>
    <rPh sb="1" eb="3">
      <t>ギョウカイ</t>
    </rPh>
    <rPh sb="4" eb="6">
      <t>キギョウ</t>
    </rPh>
    <rPh sb="7" eb="11">
      <t>ジョウホウシュウシュウ</t>
    </rPh>
    <rPh sb="11" eb="13">
      <t>ホウホウ</t>
    </rPh>
    <phoneticPr fontId="1"/>
  </si>
  <si>
    <t>利用した媒体</t>
    <rPh sb="0" eb="2">
      <t>リヨウ</t>
    </rPh>
    <rPh sb="4" eb="6">
      <t>バイタイ</t>
    </rPh>
    <phoneticPr fontId="1"/>
  </si>
  <si>
    <t>利用者数
（複数回答可）</t>
    <rPh sb="0" eb="4">
      <t>リヨウシャスウ</t>
    </rPh>
    <rPh sb="6" eb="10">
      <t>フクスウカイトウ</t>
    </rPh>
    <rPh sb="10" eb="11">
      <t>カ</t>
    </rPh>
    <phoneticPr fontId="1"/>
  </si>
  <si>
    <t>企業HP・採用サイト</t>
    <rPh sb="0" eb="2">
      <t>キギョウ</t>
    </rPh>
    <rPh sb="5" eb="7">
      <t>サイヨウ</t>
    </rPh>
    <phoneticPr fontId="1"/>
  </si>
  <si>
    <t>企業各社の公式HP（10名）</t>
    <phoneticPr fontId="1"/>
  </si>
  <si>
    <r>
      <rPr>
        <b/>
        <sz val="10"/>
        <color theme="1"/>
        <rFont val="Meiryo UI"/>
        <family val="3"/>
        <charset val="128"/>
        <scheme val="minor"/>
      </rPr>
      <t>外資就活ドットコム（8名）、ワンキャリア（7名）</t>
    </r>
    <r>
      <rPr>
        <sz val="10"/>
        <color theme="1"/>
        <rFont val="Meiryo UI"/>
        <family val="3"/>
        <charset val="128"/>
        <scheme val="minor"/>
      </rPr>
      <t>、リクナビ（3名）、マイナビ（3名）、Unistyle（1名）</t>
    </r>
    <phoneticPr fontId="1"/>
  </si>
  <si>
    <t>業界地図（7名）、会社四季報（6名）、コンサル業界大研究（4名）</t>
    <phoneticPr fontId="1"/>
  </si>
  <si>
    <t>SNS</t>
    <phoneticPr fontId="1"/>
  </si>
  <si>
    <r>
      <rPr>
        <b/>
        <sz val="10"/>
        <color theme="1"/>
        <rFont val="Meiryo UI"/>
        <family val="3"/>
        <charset val="128"/>
        <scheme val="minor"/>
      </rPr>
      <t>YouTube（6名）、X（旧Twitter）（5名）、</t>
    </r>
    <r>
      <rPr>
        <sz val="10"/>
        <color theme="1"/>
        <rFont val="Meiryo UI"/>
        <family val="3"/>
        <charset val="128"/>
        <scheme val="minor"/>
      </rPr>
      <t>Instagram（2名）、TikTok（1名）</t>
    </r>
    <phoneticPr fontId="1"/>
  </si>
  <si>
    <t>口コミ・評判サイト</t>
    <phoneticPr fontId="1"/>
  </si>
  <si>
    <r>
      <rPr>
        <b/>
        <sz val="10"/>
        <color theme="1"/>
        <rFont val="Meiryo UI"/>
        <family val="3"/>
        <charset val="128"/>
        <scheme val="minor"/>
      </rPr>
      <t>OpenWork（6名）</t>
    </r>
    <r>
      <rPr>
        <sz val="10"/>
        <color theme="1"/>
        <rFont val="Meiryo UI"/>
        <family val="3"/>
        <charset val="128"/>
        <scheme val="minor"/>
      </rPr>
      <t>、みんなの就活（2名）</t>
    </r>
    <rPh sb="17" eb="19">
      <t>シュウカツ</t>
    </rPh>
    <phoneticPr fontId="1"/>
  </si>
  <si>
    <r>
      <rPr>
        <b/>
        <sz val="10"/>
        <color theme="1"/>
        <rFont val="Meiryo UI"/>
        <family val="3"/>
        <charset val="128"/>
        <scheme val="minor"/>
      </rPr>
      <t>ビズリーチ・キャンパス（4名）</t>
    </r>
    <r>
      <rPr>
        <sz val="10"/>
        <color theme="1"/>
        <rFont val="Meiryo UI"/>
        <family val="3"/>
        <charset val="128"/>
        <scheme val="minor"/>
      </rPr>
      <t>、Matcher（3名）、エンカレッジ（2名）</t>
    </r>
    <phoneticPr fontId="1"/>
  </si>
  <si>
    <t>家族・友人・先輩のクチコミ</t>
    <phoneticPr fontId="1"/>
  </si>
  <si>
    <t>友人・同期（3名）、ゼミ・研究室（2名）、父親（1名）</t>
    <phoneticPr fontId="1"/>
  </si>
  <si>
    <t>企業の決算資料・IR情報</t>
    <phoneticPr fontId="1"/>
  </si>
  <si>
    <t>企業各社のIR資料（4名）</t>
    <phoneticPr fontId="1"/>
  </si>
  <si>
    <r>
      <rPr>
        <b/>
        <sz val="10"/>
        <color theme="1"/>
        <rFont val="Meiryo UI"/>
        <family val="3"/>
        <charset val="128"/>
        <scheme val="minor"/>
      </rPr>
      <t>NewsPicks（4名）</t>
    </r>
    <r>
      <rPr>
        <sz val="10"/>
        <color theme="1"/>
        <rFont val="Meiryo UI"/>
        <family val="3"/>
        <charset val="128"/>
        <scheme val="minor"/>
      </rPr>
      <t>、Smart NEWS（1名）</t>
    </r>
    <phoneticPr fontId="1"/>
  </si>
  <si>
    <t>就活イベント・合同説明会</t>
    <rPh sb="7" eb="12">
      <t>ゴウドウセツメイカイ</t>
    </rPh>
    <phoneticPr fontId="1"/>
  </si>
  <si>
    <t>知るカフェ（2名）、Goodfind（2名）、ビズリーチ主催イベント（1名）</t>
    <phoneticPr fontId="1"/>
  </si>
  <si>
    <t>Forbes JAPAN（2名）、東洋経済（2名）</t>
  </si>
  <si>
    <t>各大学のキャリアセンター（1名）</t>
    <phoneticPr fontId="1"/>
  </si>
  <si>
    <t>■エントリーした企業（当社を除く）</t>
    <rPh sb="11" eb="13">
      <t>トウシャ</t>
    </rPh>
    <rPh sb="14" eb="15">
      <t>ノゾ</t>
    </rPh>
    <phoneticPr fontId="1"/>
  </si>
  <si>
    <t>順位</t>
    <rPh sb="0" eb="2">
      <t>ジュンイ</t>
    </rPh>
    <phoneticPr fontId="1"/>
  </si>
  <si>
    <t>エントリー企業名</t>
    <rPh sb="5" eb="8">
      <t>キギョウメイ</t>
    </rPh>
    <phoneticPr fontId="1"/>
  </si>
  <si>
    <t>業種・業界</t>
    <rPh sb="0" eb="2">
      <t>ギョウシュ</t>
    </rPh>
    <rPh sb="3" eb="5">
      <t>ギョウカイ</t>
    </rPh>
    <phoneticPr fontId="1"/>
  </si>
  <si>
    <t>デロイト</t>
    <phoneticPr fontId="1"/>
  </si>
  <si>
    <t>総合コンサル</t>
    <rPh sb="0" eb="2">
      <t>ソウゴウ</t>
    </rPh>
    <phoneticPr fontId="1"/>
  </si>
  <si>
    <t>PwC</t>
    <phoneticPr fontId="1"/>
  </si>
  <si>
    <t>KPMG</t>
    <phoneticPr fontId="1"/>
  </si>
  <si>
    <t>アビーム</t>
    <phoneticPr fontId="1"/>
  </si>
  <si>
    <t>BCG</t>
    <phoneticPr fontId="1"/>
  </si>
  <si>
    <t>戦略コンサル</t>
    <rPh sb="0" eb="2">
      <t>センリャク</t>
    </rPh>
    <phoneticPr fontId="1"/>
  </si>
  <si>
    <t>マッキンゼー</t>
    <phoneticPr fontId="1"/>
  </si>
  <si>
    <t>アクセンチュア</t>
    <phoneticPr fontId="1"/>
  </si>
  <si>
    <t>ベイカレント</t>
    <phoneticPr fontId="1"/>
  </si>
  <si>
    <t>EYパルテノン</t>
    <phoneticPr fontId="1"/>
  </si>
  <si>
    <t>ローランド・ベルガー</t>
    <phoneticPr fontId="1"/>
  </si>
  <si>
    <t>ATカーニー</t>
    <phoneticPr fontId="1"/>
  </si>
  <si>
    <t>NTTデータ</t>
    <phoneticPr fontId="1"/>
  </si>
  <si>
    <t>日本総研（NRI)</t>
    <rPh sb="0" eb="4">
      <t>ニホンソウケン</t>
    </rPh>
    <phoneticPr fontId="1"/>
  </si>
  <si>
    <t>シンクタンク</t>
    <phoneticPr fontId="1"/>
  </si>
  <si>
    <t>三菱総研（MRI)</t>
    <rPh sb="0" eb="4">
      <t>ミツビシソウケン</t>
    </rPh>
    <phoneticPr fontId="1"/>
  </si>
  <si>
    <t>東京海上、日本政策金融公庫</t>
    <rPh sb="0" eb="4">
      <t>トウキョウカイジョウ</t>
    </rPh>
    <rPh sb="5" eb="13">
      <t>ニホンセイサクキンユウコウコ</t>
    </rPh>
    <phoneticPr fontId="1"/>
  </si>
  <si>
    <t>電通、博報堂</t>
    <rPh sb="0" eb="2">
      <t>デンツウ</t>
    </rPh>
    <rPh sb="3" eb="6">
      <t>ハクホウドウ</t>
    </rPh>
    <phoneticPr fontId="1"/>
  </si>
  <si>
    <t>ゴールドマン・サックス、モルガン・スタンレー、シティ、ドイツ銀行</t>
    <rPh sb="30" eb="32">
      <t>ギンコウ</t>
    </rPh>
    <phoneticPr fontId="1"/>
  </si>
  <si>
    <t>投資銀行</t>
    <rPh sb="0" eb="4">
      <t>トウシギンコウ</t>
    </rPh>
    <phoneticPr fontId="1"/>
  </si>
  <si>
    <t>■エントリーした企業のエントリー理由</t>
    <rPh sb="8" eb="10">
      <t>キギョウ</t>
    </rPh>
    <rPh sb="16" eb="18">
      <t>リユウ</t>
    </rPh>
    <phoneticPr fontId="1"/>
  </si>
  <si>
    <t>■利用した媒体</t>
    <rPh sb="1" eb="3">
      <t>リヨウ</t>
    </rPh>
    <rPh sb="5" eb="7">
      <t>バイタイ</t>
    </rPh>
    <phoneticPr fontId="1"/>
  </si>
  <si>
    <t>エントリーした企業と情報収集法</t>
    <rPh sb="7" eb="9">
      <t>キギョウ</t>
    </rPh>
    <rPh sb="10" eb="15">
      <t>ジョウホウシュウシュウホウ</t>
    </rPh>
    <phoneticPr fontId="1"/>
  </si>
  <si>
    <t>エントリー理由</t>
    <rPh sb="5" eb="7">
      <t>リユウ</t>
    </rPh>
    <phoneticPr fontId="1"/>
  </si>
  <si>
    <r>
      <t>・</t>
    </r>
    <r>
      <rPr>
        <b/>
        <u/>
        <sz val="10"/>
        <color theme="1"/>
        <rFont val="Meiryo UI"/>
        <family val="3"/>
        <charset val="128"/>
        <scheme val="minor"/>
      </rPr>
      <t>業界に当てはまる企業にローラー式にエントリー</t>
    </r>
    <r>
      <rPr>
        <sz val="10"/>
        <color theme="1"/>
        <rFont val="Meiryo UI"/>
        <family val="3"/>
        <charset val="128"/>
        <scheme val="minor"/>
      </rPr>
      <t>。MBBは選考難易度が高く、腰が引けたため回避。
・</t>
    </r>
    <r>
      <rPr>
        <b/>
        <u/>
        <sz val="10"/>
        <color theme="1"/>
        <rFont val="Meiryo UI"/>
        <family val="3"/>
        <charset val="128"/>
        <scheme val="minor"/>
      </rPr>
      <t>Big4を中心</t>
    </r>
    <r>
      <rPr>
        <sz val="10"/>
        <color theme="1"/>
        <rFont val="Meiryo UI"/>
        <family val="3"/>
        <charset val="128"/>
        <scheme val="minor"/>
      </rPr>
      <t>にエントリー。関連企業（監査法人・FAS含む）も含めると20社近くになり、他業界を受ける余裕がなかった。
・</t>
    </r>
    <r>
      <rPr>
        <b/>
        <u/>
        <sz val="10"/>
        <color theme="1"/>
        <rFont val="Meiryo UI"/>
        <family val="3"/>
        <charset val="128"/>
        <scheme val="minor"/>
      </rPr>
      <t>まずBig4で練習し、外資戦略コンサルは後回し</t>
    </r>
    <r>
      <rPr>
        <sz val="10"/>
        <color theme="1"/>
        <rFont val="Meiryo UI"/>
        <family val="3"/>
        <charset val="128"/>
        <scheme val="minor"/>
      </rPr>
      <t>。B&amp;DXの内定で就活終了。
・クライアントの企業方針に影響を与えるプロジェクトが多く、若手の関与度が高い企業を選択。
・私の軸に沿っている企業だと感じたから。</t>
    </r>
    <r>
      <rPr>
        <b/>
        <u/>
        <sz val="10"/>
        <color theme="1"/>
        <rFont val="Meiryo UI"/>
        <family val="3"/>
        <charset val="128"/>
        <scheme val="minor"/>
      </rPr>
      <t>業務内容や社風などを理解できる情報が多く開示されていたため。</t>
    </r>
    <r>
      <rPr>
        <sz val="10"/>
        <color theme="1"/>
        <rFont val="Meiryo UI"/>
        <family val="3"/>
        <charset val="128"/>
        <scheme val="minor"/>
      </rPr>
      <t xml:space="preserve">
・</t>
    </r>
    <r>
      <rPr>
        <b/>
        <u/>
        <sz val="10"/>
        <color theme="1"/>
        <rFont val="Meiryo UI"/>
        <family val="3"/>
        <charset val="128"/>
        <scheme val="minor"/>
      </rPr>
      <t>コンサル間での複数エントリーがしやすいから（企業文化は各社違うが求められるスキルは似通っている、GDやケース面接等試験内容も似通っている）</t>
    </r>
    <r>
      <rPr>
        <sz val="10"/>
        <color theme="1"/>
        <rFont val="Meiryo UI"/>
        <family val="3"/>
        <charset val="128"/>
        <scheme val="minor"/>
      </rPr>
      <t xml:space="preserve">
・サマーインターンを実施していない企業も含め、幅広く業界を知るためにエントリー。
</t>
    </r>
    <phoneticPr fontId="1"/>
  </si>
  <si>
    <t>外資就活ドットコム</t>
    <rPh sb="0" eb="4">
      <t>ガイシシュウカツ</t>
    </rPh>
    <phoneticPr fontId="1"/>
  </si>
  <si>
    <r>
      <t>・</t>
    </r>
    <r>
      <rPr>
        <b/>
        <u/>
        <sz val="10"/>
        <color theme="1"/>
        <rFont val="Meiryo UI"/>
        <family val="3"/>
        <charset val="128"/>
        <scheme val="minor"/>
      </rPr>
      <t>業界のリーディングカンパニー</t>
    </r>
    <r>
      <rPr>
        <sz val="10"/>
        <color theme="1"/>
        <rFont val="Meiryo UI"/>
        <family val="3"/>
        <charset val="128"/>
        <scheme val="minor"/>
      </rPr>
      <t>だから。次の選考で受けようと考えたため、一部エントリーせず。
・</t>
    </r>
    <r>
      <rPr>
        <b/>
        <u/>
        <sz val="10"/>
        <color theme="1"/>
        <rFont val="Meiryo UI"/>
        <family val="3"/>
        <charset val="128"/>
        <scheme val="minor"/>
      </rPr>
      <t>高年収かつ汎用的なスキル獲得を重視</t>
    </r>
    <r>
      <rPr>
        <sz val="10"/>
        <color theme="1"/>
        <rFont val="Meiryo UI"/>
        <family val="3"/>
        <charset val="128"/>
        <scheme val="minor"/>
      </rPr>
      <t>し、業界特化型のファームは回避。
・情報収集した企業は全てエントリー。
・とにかく</t>
    </r>
    <r>
      <rPr>
        <b/>
        <u/>
        <sz val="10"/>
        <color theme="1"/>
        <rFont val="Meiryo UI"/>
        <family val="3"/>
        <charset val="128"/>
        <scheme val="minor"/>
      </rPr>
      <t>戦略コンサルを第一志望としていた</t>
    </r>
    <r>
      <rPr>
        <sz val="10"/>
        <color theme="1"/>
        <rFont val="Meiryo UI"/>
        <family val="3"/>
        <charset val="128"/>
        <scheme val="minor"/>
      </rPr>
      <t>ため、全社エントリー。</t>
    </r>
    <phoneticPr fontId="1"/>
  </si>
  <si>
    <t>ワンキャリア</t>
    <phoneticPr fontId="1"/>
  </si>
  <si>
    <r>
      <t>・</t>
    </r>
    <r>
      <rPr>
        <b/>
        <u/>
        <sz val="10"/>
        <color theme="1"/>
        <rFont val="Meiryo UI"/>
        <family val="3"/>
        <charset val="128"/>
        <scheme val="minor"/>
      </rPr>
      <t>やりたいことを実現できる可能性が高い企業</t>
    </r>
    <r>
      <rPr>
        <sz val="10"/>
        <color theme="1"/>
        <rFont val="Meiryo UI"/>
        <family val="3"/>
        <charset val="128"/>
        <scheme val="minor"/>
      </rPr>
      <t>を選択。一方で</t>
    </r>
    <r>
      <rPr>
        <b/>
        <u/>
        <sz val="10"/>
        <color theme="1"/>
        <rFont val="Meiryo UI"/>
        <family val="3"/>
        <charset val="128"/>
        <scheme val="minor"/>
      </rPr>
      <t>企業風土が合わないと感じた企業は優先度を下げた。</t>
    </r>
    <r>
      <rPr>
        <sz val="10"/>
        <color theme="1"/>
        <rFont val="Meiryo UI"/>
        <family val="3"/>
        <charset val="128"/>
        <scheme val="minor"/>
      </rPr>
      <t xml:space="preserve">
・</t>
    </r>
    <r>
      <rPr>
        <b/>
        <u/>
        <sz val="10"/>
        <color theme="1"/>
        <rFont val="Meiryo UI"/>
        <family val="3"/>
        <charset val="128"/>
        <scheme val="minor"/>
      </rPr>
      <t>プロジェクト領域がクライアントの企業方針を変えるものか、若手の関与度が高いかを基準</t>
    </r>
    <r>
      <rPr>
        <sz val="10"/>
        <color theme="1"/>
        <rFont val="Meiryo UI"/>
        <family val="3"/>
        <charset val="128"/>
        <scheme val="minor"/>
      </rPr>
      <t>にエントリー。
・100社ほどエントリーし、最終的なエントリーは</t>
    </r>
    <r>
      <rPr>
        <b/>
        <u/>
        <sz val="10"/>
        <color theme="1"/>
        <rFont val="Meiryo UI"/>
        <family val="3"/>
        <charset val="128"/>
        <scheme val="minor"/>
      </rPr>
      <t>やりがいや社風</t>
    </r>
    <r>
      <rPr>
        <sz val="10"/>
        <color theme="1"/>
        <rFont val="Meiryo UI"/>
        <family val="3"/>
        <charset val="128"/>
        <scheme val="minor"/>
      </rPr>
      <t>で選別（ドコモ）。</t>
    </r>
    <phoneticPr fontId="1"/>
  </si>
  <si>
    <t>企業HP</t>
    <rPh sb="0" eb="2">
      <t>キギョウ</t>
    </rPh>
    <phoneticPr fontId="1"/>
  </si>
  <si>
    <r>
      <t>・</t>
    </r>
    <r>
      <rPr>
        <b/>
        <u/>
        <sz val="10"/>
        <color theme="1"/>
        <rFont val="Meiryo UI"/>
        <family val="3"/>
        <charset val="128"/>
        <scheme val="minor"/>
      </rPr>
      <t>業務内容や社風が自分に合っている</t>
    </r>
    <r>
      <rPr>
        <sz val="10"/>
        <color theme="1"/>
        <rFont val="Meiryo UI"/>
        <family val="3"/>
        <charset val="128"/>
        <scheme val="minor"/>
      </rPr>
      <t>と感じたため。
・</t>
    </r>
    <r>
      <rPr>
        <b/>
        <u/>
        <sz val="10"/>
        <color theme="1"/>
        <rFont val="Meiryo UI"/>
        <family val="3"/>
        <charset val="128"/>
        <scheme val="minor"/>
      </rPr>
      <t>選考を受けながら企業理解を深めたい</t>
    </r>
    <r>
      <rPr>
        <sz val="10"/>
        <color theme="1"/>
        <rFont val="Meiryo UI"/>
        <family val="3"/>
        <charset val="128"/>
        <scheme val="minor"/>
      </rPr>
      <t>と考えたため。
・100社ほどエントリーし、最終的なエントリーはやりがいや社風で選別（MRI）。</t>
    </r>
    <phoneticPr fontId="1"/>
  </si>
  <si>
    <t>ビズリーチ・キャンパス</t>
    <phoneticPr fontId="1"/>
  </si>
  <si>
    <r>
      <t>・100社ほどエントリーし、やりがいや社風で選別。
・</t>
    </r>
    <r>
      <rPr>
        <b/>
        <u/>
        <sz val="10"/>
        <color theme="1"/>
        <rFont val="Meiryo UI"/>
        <family val="3"/>
        <charset val="128"/>
        <scheme val="minor"/>
      </rPr>
      <t>業界を幅広く知るため</t>
    </r>
    <r>
      <rPr>
        <sz val="10"/>
        <color theme="1"/>
        <rFont val="Meiryo UI"/>
        <family val="3"/>
        <charset val="128"/>
        <scheme val="minor"/>
      </rPr>
      <t>にエントリー。サマーインターン未実施の企業も対象。</t>
    </r>
    <phoneticPr fontId="1"/>
  </si>
  <si>
    <t>Goodfind</t>
    <phoneticPr fontId="1"/>
  </si>
  <si>
    <t>・100社ほどエントリーし、最終的なエントリーはやりがいや社風で選別（電通・博報堂）。</t>
    <rPh sb="14" eb="17">
      <t>サイシュウテキ</t>
    </rPh>
    <rPh sb="35" eb="37">
      <t>デンツウ</t>
    </rPh>
    <rPh sb="38" eb="41">
      <t>ハクホウドウ</t>
    </rPh>
    <phoneticPr fontId="1"/>
  </si>
  <si>
    <t>マイナビ</t>
    <phoneticPr fontId="1"/>
  </si>
  <si>
    <t>・大手コンサルと外資系投資銀行をエントリー。日系はサマーインターンの優遇がないため回避。</t>
    <phoneticPr fontId="1"/>
  </si>
  <si>
    <t>エンカレッジ</t>
    <phoneticPr fontId="1"/>
  </si>
  <si>
    <t>・業界内での独自の立ち位置にいたため。エントリーしなかった企業は、そもそも財政難で投資よりも自社の再生がメインだったため。</t>
    <phoneticPr fontId="1"/>
  </si>
  <si>
    <t>■当社を知った時期ときっかけ</t>
    <rPh sb="1" eb="3">
      <t>トウシャ</t>
    </rPh>
    <rPh sb="4" eb="5">
      <t>シ</t>
    </rPh>
    <rPh sb="7" eb="9">
      <t>ジキ</t>
    </rPh>
    <phoneticPr fontId="1"/>
  </si>
  <si>
    <t>&lt;&lt;参考&gt;&gt;就職活動の開始時期</t>
    <rPh sb="2" eb="4">
      <t>サンコウ</t>
    </rPh>
    <rPh sb="6" eb="10">
      <t>シュウショクカツドウ</t>
    </rPh>
    <rPh sb="11" eb="15">
      <t>カイシジキ</t>
    </rPh>
    <phoneticPr fontId="1"/>
  </si>
  <si>
    <t>当社を知った時期</t>
    <rPh sb="0" eb="2">
      <t>トウシャ</t>
    </rPh>
    <rPh sb="3" eb="4">
      <t>シ</t>
    </rPh>
    <rPh sb="6" eb="8">
      <t>ジキ</t>
    </rPh>
    <phoneticPr fontId="1"/>
  </si>
  <si>
    <t>大学4年（or大学院2年）８月</t>
    <rPh sb="0" eb="2">
      <t>ダイガク</t>
    </rPh>
    <rPh sb="3" eb="4">
      <t>ネン</t>
    </rPh>
    <rPh sb="7" eb="10">
      <t>ダイガクイン</t>
    </rPh>
    <rPh sb="11" eb="12">
      <t>ネン</t>
    </rPh>
    <rPh sb="14" eb="15">
      <t>ガツ</t>
    </rPh>
    <phoneticPr fontId="1"/>
  </si>
  <si>
    <t>大学4年（or大学院2年）２月</t>
    <rPh sb="0" eb="2">
      <t>ダイガク</t>
    </rPh>
    <rPh sb="3" eb="4">
      <t>ネン</t>
    </rPh>
    <rPh sb="7" eb="10">
      <t>ダイガクイン</t>
    </rPh>
    <rPh sb="11" eb="12">
      <t>ネン</t>
    </rPh>
    <rPh sb="14" eb="15">
      <t>ガツ</t>
    </rPh>
    <phoneticPr fontId="1"/>
  </si>
  <si>
    <t>■当社を知った経路</t>
    <rPh sb="1" eb="3">
      <t>トウシャ</t>
    </rPh>
    <rPh sb="4" eb="5">
      <t>シ</t>
    </rPh>
    <rPh sb="7" eb="9">
      <t>ケイロ</t>
    </rPh>
    <phoneticPr fontId="1"/>
  </si>
  <si>
    <t>知った経緯</t>
    <rPh sb="0" eb="1">
      <t>シ</t>
    </rPh>
    <rPh sb="3" eb="5">
      <t>ケイイ</t>
    </rPh>
    <phoneticPr fontId="1"/>
  </si>
  <si>
    <t>・コンサル企業を見ているときに出てきた
・エントリーできる企業を探している際に、戦略コンサル業界で検索すると一覧に出てきて存在を知った
・少数精鋭の戦コンを探してたら見つけた
・外資就活経由でスカウトメールが来た
・「今月のエントリー対象企業」や「応募締め切り間近企業」といった内容のメール(アナウンス？)で知った
・「締切順」表示にして見つけた</t>
    <rPh sb="169" eb="170">
      <t>ミ</t>
    </rPh>
    <phoneticPr fontId="1"/>
  </si>
  <si>
    <t>SNS(X, 就活アカウント, 締切一覧)</t>
    <phoneticPr fontId="1"/>
  </si>
  <si>
    <t>・Xの就活アカウントがコンサルティング企業として紹介しているポストを見た
・SNSで締切一覧と書かれているコンテンツを見て存在を知った。</t>
    <phoneticPr fontId="1"/>
  </si>
  <si>
    <t>・OB訪問機能を利用し、B&amp;DXの内定者から紹介を受けて認知。</t>
    <rPh sb="25" eb="26">
      <t>ウ</t>
    </rPh>
    <phoneticPr fontId="1"/>
  </si>
  <si>
    <t>OB訪問</t>
    <rPh sb="2" eb="4">
      <t>ホウモン</t>
    </rPh>
    <phoneticPr fontId="1"/>
  </si>
  <si>
    <t>YouTube</t>
    <phoneticPr fontId="1"/>
  </si>
  <si>
    <t>・Youtubeでアビームの紹介動画に出演していた社員の方が現在はBDXに勤めているという話をしていて存在を知った</t>
    <phoneticPr fontId="1"/>
  </si>
  <si>
    <t>■当社にエントリーしようと思った理由</t>
    <rPh sb="1" eb="3">
      <t>トウシャ</t>
    </rPh>
    <rPh sb="13" eb="14">
      <t>オモ</t>
    </rPh>
    <rPh sb="16" eb="18">
      <t>リユウ</t>
    </rPh>
    <phoneticPr fontId="1"/>
  </si>
  <si>
    <t>理由詳細</t>
    <rPh sb="0" eb="4">
      <t>リユウショウサイ</t>
    </rPh>
    <phoneticPr fontId="1"/>
  </si>
  <si>
    <t>戦略コンサルとしての環境</t>
    <rPh sb="0" eb="2">
      <t>センリャク</t>
    </rPh>
    <rPh sb="10" eb="12">
      <t>カンキョウ</t>
    </rPh>
    <phoneticPr fontId="1"/>
  </si>
  <si>
    <r>
      <t>・戦略コンサル業界に興味があり、その中で</t>
    </r>
    <r>
      <rPr>
        <b/>
        <u/>
        <sz val="10"/>
        <color theme="1"/>
        <rFont val="Meiryo UI"/>
        <family val="3"/>
        <charset val="128"/>
        <scheme val="minor"/>
      </rPr>
      <t>少数精鋭の環境に魅力を感じた</t>
    </r>
    <r>
      <rPr>
        <sz val="10"/>
        <color theme="1"/>
        <rFont val="Meiryo UI"/>
        <family val="3"/>
        <charset val="128"/>
        <scheme val="minor"/>
      </rPr>
      <t>ため
・戦略コンサルは選考フローが明確でないと応募を躊躇するが、</t>
    </r>
    <r>
      <rPr>
        <b/>
        <u/>
        <sz val="10"/>
        <color theme="1"/>
        <rFont val="Meiryo UI"/>
        <family val="3"/>
        <charset val="128"/>
        <scheme val="minor"/>
      </rPr>
      <t>B&amp;DXは選考フローが明確だった</t>
    </r>
    <r>
      <rPr>
        <sz val="10"/>
        <color theme="1"/>
        <rFont val="Meiryo UI"/>
        <family val="3"/>
        <charset val="128"/>
        <scheme val="minor"/>
      </rPr>
      <t>ため
・</t>
    </r>
    <r>
      <rPr>
        <b/>
        <u/>
        <sz val="10"/>
        <color theme="1"/>
        <rFont val="Meiryo UI"/>
        <family val="3"/>
        <charset val="128"/>
        <scheme val="minor"/>
      </rPr>
      <t>提供するサービスが社会に与えるインパクトが大きい</t>
    </r>
    <r>
      <rPr>
        <sz val="10"/>
        <color theme="1"/>
        <rFont val="Meiryo UI"/>
        <family val="3"/>
        <charset val="128"/>
        <scheme val="minor"/>
      </rPr>
      <t>と感じたため
・外資就活ドットコムで「戦略コンサル」のカテゴリで検索し、該当企業に応募したため
・戦略コンサルとしての</t>
    </r>
    <r>
      <rPr>
        <b/>
        <u/>
        <sz val="10"/>
        <color theme="1"/>
        <rFont val="Meiryo UI"/>
        <family val="3"/>
        <charset val="128"/>
        <scheme val="minor"/>
      </rPr>
      <t>プロジェクトが自分のやりたいことに近い</t>
    </r>
    <r>
      <rPr>
        <sz val="10"/>
        <color theme="1"/>
        <rFont val="Meiryo UI"/>
        <family val="3"/>
        <charset val="128"/>
        <scheme val="minor"/>
      </rPr>
      <t>と考えたため
・戦略コンサルティングの選考フローを経験し、</t>
    </r>
    <r>
      <rPr>
        <b/>
        <u/>
        <sz val="10"/>
        <color theme="1"/>
        <rFont val="Meiryo UI"/>
        <family val="3"/>
        <charset val="128"/>
        <scheme val="minor"/>
      </rPr>
      <t>面接練習を積みたかったため</t>
    </r>
    <r>
      <rPr>
        <sz val="10"/>
        <color theme="1"/>
        <rFont val="Meiryo UI"/>
        <family val="3"/>
        <charset val="128"/>
        <scheme val="minor"/>
      </rPr>
      <t xml:space="preserve">
・戦略コンサルとしてスタートが遅いと感じ、</t>
    </r>
    <r>
      <rPr>
        <b/>
        <u/>
        <sz val="10"/>
        <color theme="1"/>
        <rFont val="Meiryo UI"/>
        <family val="3"/>
        <charset val="128"/>
        <scheme val="minor"/>
      </rPr>
      <t>選考練習も兼ねて</t>
    </r>
    <r>
      <rPr>
        <sz val="10"/>
        <color theme="1"/>
        <rFont val="Meiryo UI"/>
        <family val="3"/>
        <charset val="128"/>
        <scheme val="minor"/>
      </rPr>
      <t>応募したため</t>
    </r>
    <phoneticPr fontId="1"/>
  </si>
  <si>
    <t>給与・待遇面の魅力</t>
    <rPh sb="0" eb="2">
      <t>キュウヨ</t>
    </rPh>
    <rPh sb="3" eb="6">
      <t>タイグウメン</t>
    </rPh>
    <rPh sb="7" eb="9">
      <t>ミリョク</t>
    </rPh>
    <phoneticPr fontId="1"/>
  </si>
  <si>
    <t>・初任給640万円と記載されており、他社（500万円前後）と比較して魅力を感じたため
・給与が高い企業を中心にエントリーしていたため
・少数精鋭のファームでありながら高待遇である点が魅力だったため
・戦略コンサルの中でも特に待遇が良いと感じたため</t>
    <phoneticPr fontId="1"/>
  </si>
  <si>
    <t>企業の成長性とカルチャー</t>
    <rPh sb="0" eb="2">
      <t>キギョウ</t>
    </rPh>
    <rPh sb="3" eb="6">
      <t>セイチョウセイ</t>
    </rPh>
    <phoneticPr fontId="1"/>
  </si>
  <si>
    <r>
      <t>・新進気鋭のコンサルティング企業であり、</t>
    </r>
    <r>
      <rPr>
        <b/>
        <u/>
        <sz val="10"/>
        <color theme="1"/>
        <rFont val="Meiryo UI"/>
        <family val="3"/>
        <charset val="128"/>
        <scheme val="minor"/>
      </rPr>
      <t>急成長している点に魅力を感じた</t>
    </r>
    <r>
      <rPr>
        <sz val="10"/>
        <color theme="1"/>
        <rFont val="Meiryo UI"/>
        <family val="3"/>
        <charset val="128"/>
        <scheme val="minor"/>
      </rPr>
      <t>ため
・比較的新しいファームでありながら、</t>
    </r>
    <r>
      <rPr>
        <b/>
        <u/>
        <sz val="10"/>
        <color theme="1"/>
        <rFont val="Meiryo UI"/>
        <family val="3"/>
        <charset val="128"/>
        <scheme val="minor"/>
      </rPr>
      <t>実績があり急成長している</t>
    </r>
    <r>
      <rPr>
        <sz val="10"/>
        <color theme="1"/>
        <rFont val="Meiryo UI"/>
        <family val="3"/>
        <charset val="128"/>
        <scheme val="minor"/>
      </rPr>
      <t>点に関心を持ったため
・YouTubeのインタビュー動画で</t>
    </r>
    <r>
      <rPr>
        <b/>
        <u/>
        <sz val="10"/>
        <color theme="1"/>
        <rFont val="Meiryo UI"/>
        <family val="3"/>
        <charset val="128"/>
        <scheme val="minor"/>
      </rPr>
      <t>B&amp;DXの社員が語るカルチャーや成長環境に惹かれた</t>
    </r>
    <r>
      <rPr>
        <sz val="10"/>
        <color theme="1"/>
        <rFont val="Meiryo UI"/>
        <family val="3"/>
        <charset val="128"/>
        <scheme val="minor"/>
      </rPr>
      <t>ため</t>
    </r>
    <phoneticPr fontId="1"/>
  </si>
  <si>
    <t>スカウト・紹介経由</t>
    <rPh sb="5" eb="9">
      <t>ショウカイケイユ</t>
    </rPh>
    <phoneticPr fontId="1"/>
  </si>
  <si>
    <r>
      <t>・</t>
    </r>
    <r>
      <rPr>
        <b/>
        <u/>
        <sz val="10"/>
        <color theme="1"/>
        <rFont val="Meiryo UI"/>
        <family val="3"/>
        <charset val="128"/>
        <scheme val="minor"/>
      </rPr>
      <t>外資就活ドットコムでスカウトメール</t>
    </r>
    <r>
      <rPr>
        <sz val="10"/>
        <color theme="1"/>
        <rFont val="Meiryo UI"/>
        <family val="3"/>
        <charset val="128"/>
        <scheme val="minor"/>
      </rPr>
      <t>が届き、企業概要を読んで興味を持ったため
・</t>
    </r>
    <r>
      <rPr>
        <b/>
        <sz val="10"/>
        <color theme="1"/>
        <rFont val="Meiryo UI"/>
        <family val="3"/>
        <charset val="128"/>
        <scheme val="minor"/>
      </rPr>
      <t>ビズリーチ・キャンパスのOB訪問機能</t>
    </r>
    <r>
      <rPr>
        <sz val="10"/>
        <color theme="1"/>
        <rFont val="Meiryo UI"/>
        <family val="3"/>
        <charset val="128"/>
        <scheme val="minor"/>
      </rPr>
      <t>を利用し、内定者から紹介されたため
・</t>
    </r>
    <r>
      <rPr>
        <b/>
        <u/>
        <sz val="10"/>
        <color theme="1"/>
        <rFont val="Meiryo UI"/>
        <family val="3"/>
        <charset val="128"/>
        <scheme val="minor"/>
      </rPr>
      <t>友人にB&amp;DXを尋ねた</t>
    </r>
    <r>
      <rPr>
        <sz val="10"/>
        <color theme="1"/>
        <rFont val="Meiryo UI"/>
        <family val="3"/>
        <charset val="128"/>
        <scheme val="minor"/>
      </rPr>
      <t>ところ「受けた方がいい」と勧められたため</t>
    </r>
    <phoneticPr fontId="1"/>
  </si>
  <si>
    <t>エントリーのしやすさ</t>
    <phoneticPr fontId="1"/>
  </si>
  <si>
    <r>
      <t>・</t>
    </r>
    <r>
      <rPr>
        <b/>
        <u/>
        <sz val="10"/>
        <color theme="1"/>
        <rFont val="Meiryo UI"/>
        <family val="3"/>
        <charset val="128"/>
        <scheme val="minor"/>
      </rPr>
      <t>エントリーのハードルが低く</t>
    </r>
    <r>
      <rPr>
        <sz val="10"/>
        <color theme="1"/>
        <rFont val="Meiryo UI"/>
        <family val="3"/>
        <charset val="128"/>
        <scheme val="minor"/>
      </rPr>
      <t>（短文の自己PRなどで応募可能）、気軽に応募できたため
・締切一覧に掲載されていた企業はすべてエントリーすると決めていたため</t>
    </r>
    <phoneticPr fontId="1"/>
  </si>
  <si>
    <t>■当社の選考の特徴</t>
    <rPh sb="1" eb="3">
      <t>トウシャ</t>
    </rPh>
    <rPh sb="4" eb="6">
      <t>センコウ</t>
    </rPh>
    <rPh sb="7" eb="9">
      <t>トクチョウ</t>
    </rPh>
    <phoneticPr fontId="1"/>
  </si>
  <si>
    <t>分類</t>
    <rPh sb="0" eb="2">
      <t>ブンルイ</t>
    </rPh>
    <phoneticPr fontId="1"/>
  </si>
  <si>
    <t>特徴詳細</t>
    <rPh sb="0" eb="4">
      <t>トクチョウショウサイ</t>
    </rPh>
    <phoneticPr fontId="1"/>
  </si>
  <si>
    <t>独特な選考形式（特にケース）</t>
    <rPh sb="0" eb="2">
      <t>ドクトク</t>
    </rPh>
    <rPh sb="3" eb="5">
      <t>センコウ</t>
    </rPh>
    <rPh sb="5" eb="7">
      <t>ケイシキ</t>
    </rPh>
    <rPh sb="8" eb="9">
      <t>トク</t>
    </rPh>
    <phoneticPr fontId="1"/>
  </si>
  <si>
    <r>
      <t>・</t>
    </r>
    <r>
      <rPr>
        <b/>
        <u/>
        <sz val="10"/>
        <color theme="1"/>
        <rFont val="Meiryo UI"/>
        <family val="3"/>
        <charset val="128"/>
        <scheme val="minor"/>
      </rPr>
      <t>ケース面接が短時間かつ回数が多い</t>
    </r>
    <r>
      <rPr>
        <sz val="10"/>
        <color theme="1"/>
        <rFont val="Meiryo UI"/>
        <family val="3"/>
        <charset val="128"/>
        <scheme val="minor"/>
      </rPr>
      <t xml:space="preserve">
・面接官と一緒に考える形式で進むため、</t>
    </r>
    <r>
      <rPr>
        <b/>
        <u/>
        <sz val="10"/>
        <color theme="1"/>
        <rFont val="Meiryo UI"/>
        <family val="3"/>
        <charset val="128"/>
        <scheme val="minor"/>
      </rPr>
      <t>圧迫感が少ない</t>
    </r>
    <r>
      <rPr>
        <sz val="10"/>
        <color theme="1"/>
        <rFont val="Meiryo UI"/>
        <family val="3"/>
        <charset val="128"/>
        <scheme val="minor"/>
      </rPr>
      <t xml:space="preserve">
・1~3次のケース面接が1日で終わる</t>
    </r>
    <r>
      <rPr>
        <b/>
        <u/>
        <sz val="10"/>
        <color theme="1"/>
        <rFont val="Meiryo UI"/>
        <family val="3"/>
        <charset val="128"/>
        <scheme val="minor"/>
      </rPr>
      <t>サバイバル感</t>
    </r>
    <r>
      <rPr>
        <sz val="10"/>
        <color theme="1"/>
        <rFont val="Meiryo UI"/>
        <family val="3"/>
        <charset val="128"/>
        <scheme val="minor"/>
      </rPr>
      <t>がある
・最初のケース面接の形式が他社と異なり</t>
    </r>
    <r>
      <rPr>
        <b/>
        <u/>
        <sz val="10"/>
        <color theme="1"/>
        <rFont val="Meiryo UI"/>
        <family val="3"/>
        <charset val="128"/>
        <scheme val="minor"/>
      </rPr>
      <t>特徴的</t>
    </r>
    <r>
      <rPr>
        <sz val="10"/>
        <color theme="1"/>
        <rFont val="Meiryo UI"/>
        <family val="3"/>
        <charset val="128"/>
        <scheme val="minor"/>
      </rPr>
      <t xml:space="preserve">
・</t>
    </r>
    <r>
      <rPr>
        <b/>
        <u/>
        <sz val="10"/>
        <color theme="1"/>
        <rFont val="Meiryo UI"/>
        <family val="3"/>
        <charset val="128"/>
        <scheme val="minor"/>
      </rPr>
      <t>ケース面接の進め方が独特</t>
    </r>
    <r>
      <rPr>
        <sz val="10"/>
        <color theme="1"/>
        <rFont val="Meiryo UI"/>
        <family val="3"/>
        <charset val="128"/>
        <scheme val="minor"/>
      </rPr>
      <t>であり、強い印象に残った
・</t>
    </r>
    <r>
      <rPr>
        <b/>
        <u/>
        <sz val="10"/>
        <color theme="1"/>
        <rFont val="Meiryo UI"/>
        <family val="3"/>
        <charset val="128"/>
        <scheme val="minor"/>
      </rPr>
      <t>1~3次面接を同日に実施し、グループ面接やWEBテストを介さない
・面接やジョブのプレゼンテーションが印象的で、選考全体が記憶に残りやすい</t>
    </r>
    <phoneticPr fontId="1"/>
  </si>
  <si>
    <t>選考回数の多さと面接官の多様性</t>
    <phoneticPr fontId="1"/>
  </si>
  <si>
    <r>
      <t>・選考回数が多く、</t>
    </r>
    <r>
      <rPr>
        <b/>
        <u/>
        <sz val="10"/>
        <color theme="1"/>
        <rFont val="Meiryo UI"/>
        <family val="3"/>
        <charset val="128"/>
        <scheme val="minor"/>
      </rPr>
      <t>様々な面接官と話す機会があるため、企業の雰囲気が掴みやすい</t>
    </r>
    <r>
      <rPr>
        <sz val="10"/>
        <color theme="1"/>
        <rFont val="Meiryo UI"/>
        <family val="3"/>
        <charset val="128"/>
        <scheme val="minor"/>
      </rPr>
      <t xml:space="preserve">
・選考回数が多いため、</t>
    </r>
    <r>
      <rPr>
        <b/>
        <u/>
        <sz val="10"/>
        <color theme="1"/>
        <rFont val="Meiryo UI"/>
        <family val="3"/>
        <charset val="128"/>
        <scheme val="minor"/>
      </rPr>
      <t>途中離脱が少なそう</t>
    </r>
    <r>
      <rPr>
        <sz val="10"/>
        <color theme="1"/>
        <rFont val="Meiryo UI"/>
        <family val="3"/>
        <charset val="128"/>
        <scheme val="minor"/>
      </rPr>
      <t xml:space="preserve">
・</t>
    </r>
    <r>
      <rPr>
        <b/>
        <u/>
        <sz val="10"/>
        <color theme="1"/>
        <rFont val="Meiryo UI"/>
        <family val="3"/>
        <charset val="128"/>
        <scheme val="minor"/>
      </rPr>
      <t>「合格」と言われる回数が多く、心理的に次の選考へ進もうという気になりやすい
　⇒何回も合格したのに選考辞退することはもったいないように感じるため</t>
    </r>
    <r>
      <rPr>
        <sz val="10"/>
        <color theme="1"/>
        <rFont val="Meiryo UI"/>
        <family val="3"/>
        <charset val="128"/>
        <scheme val="minor"/>
      </rPr>
      <t xml:space="preserve">
・</t>
    </r>
    <r>
      <rPr>
        <b/>
        <u/>
        <sz val="10"/>
        <color theme="1"/>
        <rFont val="Meiryo UI"/>
        <family val="3"/>
        <charset val="128"/>
        <scheme val="minor"/>
      </rPr>
      <t>年次の高い社員が直接面接官</t>
    </r>
    <r>
      <rPr>
        <sz val="10"/>
        <color theme="1"/>
        <rFont val="Meiryo UI"/>
        <family val="3"/>
        <charset val="128"/>
        <scheme val="minor"/>
      </rPr>
      <t>として対応する
・他社と比較して、</t>
    </r>
    <r>
      <rPr>
        <b/>
        <u/>
        <sz val="10"/>
        <color theme="1"/>
        <rFont val="Meiryo UI"/>
        <family val="3"/>
        <charset val="128"/>
        <scheme val="minor"/>
      </rPr>
      <t>現役コンサルタントとの接触機会が多い</t>
    </r>
    <phoneticPr fontId="1"/>
  </si>
  <si>
    <t>フィードバックの充実</t>
    <rPh sb="8" eb="10">
      <t>ジュウジツ</t>
    </rPh>
    <phoneticPr fontId="1"/>
  </si>
  <si>
    <r>
      <t>・</t>
    </r>
    <r>
      <rPr>
        <b/>
        <u/>
        <sz val="10"/>
        <color theme="1"/>
        <rFont val="Meiryo UI"/>
        <family val="3"/>
        <charset val="128"/>
        <scheme val="minor"/>
      </rPr>
      <t>インターンのFBが非常に丁寧</t>
    </r>
    <r>
      <rPr>
        <sz val="10"/>
        <color theme="1"/>
        <rFont val="Meiryo UI"/>
        <family val="3"/>
        <charset val="128"/>
        <scheme val="minor"/>
      </rPr>
      <t>で、就活生の成長につながる
・</t>
    </r>
    <r>
      <rPr>
        <b/>
        <u/>
        <sz val="10"/>
        <color theme="1"/>
        <rFont val="Meiryo UI"/>
        <family val="3"/>
        <charset val="128"/>
        <scheme val="minor"/>
      </rPr>
      <t>ジョブや面接のフィードバックが厳しく的確</t>
    </r>
    <r>
      <rPr>
        <sz val="10"/>
        <color theme="1"/>
        <rFont val="Meiryo UI"/>
        <family val="3"/>
        <charset val="128"/>
        <scheme val="minor"/>
      </rPr>
      <t xml:space="preserve">
・</t>
    </r>
    <r>
      <rPr>
        <b/>
        <u/>
        <sz val="10"/>
        <color theme="1"/>
        <rFont val="Meiryo UI"/>
        <family val="3"/>
        <charset val="128"/>
        <scheme val="minor"/>
      </rPr>
      <t>面接やジョブのフォローアップが丁寧
・社員のレベルが高い(FBが良い、熱い)</t>
    </r>
    <r>
      <rPr>
        <sz val="10"/>
        <color theme="1"/>
        <rFont val="Meiryo UI"/>
        <family val="3"/>
        <charset val="128"/>
        <scheme val="minor"/>
      </rPr>
      <t xml:space="preserve">
・</t>
    </r>
    <r>
      <rPr>
        <b/>
        <u/>
        <sz val="10"/>
        <color theme="1"/>
        <rFont val="Meiryo UI"/>
        <family val="3"/>
        <charset val="128"/>
        <scheme val="minor"/>
      </rPr>
      <t>安部さんのFBの質と熱量が高く</t>
    </r>
    <r>
      <rPr>
        <sz val="10"/>
        <color theme="1"/>
        <rFont val="Meiryo UI"/>
        <family val="3"/>
        <charset val="128"/>
        <scheme val="minor"/>
      </rPr>
      <t>、他社とは異なる</t>
    </r>
    <rPh sb="92" eb="94">
      <t>アベ</t>
    </rPh>
    <phoneticPr fontId="1"/>
  </si>
  <si>
    <r>
      <t>・ESが短く、重要度が低い
・</t>
    </r>
    <r>
      <rPr>
        <b/>
        <u/>
        <sz val="10"/>
        <color theme="1"/>
        <rFont val="Meiryo UI"/>
        <family val="3"/>
        <charset val="128"/>
        <scheme val="minor"/>
      </rPr>
      <t>ESの記載量が少なく、他社と比べて負担が少ない</t>
    </r>
    <r>
      <rPr>
        <sz val="10"/>
        <color theme="1"/>
        <rFont val="Meiryo UI"/>
        <family val="3"/>
        <charset val="128"/>
        <scheme val="minor"/>
      </rPr>
      <t xml:space="preserve">
・WEBテストやグループディスカッションを実施せず、</t>
    </r>
    <r>
      <rPr>
        <b/>
        <u/>
        <sz val="10"/>
        <color theme="1"/>
        <rFont val="Meiryo UI"/>
        <family val="3"/>
        <charset val="128"/>
        <scheme val="minor"/>
      </rPr>
      <t>いきなり現役コンサルタントと面接ができる</t>
    </r>
    <phoneticPr fontId="1"/>
  </si>
  <si>
    <t>会社理解を促す姿勢</t>
    <phoneticPr fontId="1"/>
  </si>
  <si>
    <r>
      <t>・</t>
    </r>
    <r>
      <rPr>
        <b/>
        <u/>
        <sz val="10"/>
        <color theme="1"/>
        <rFont val="Meiryo UI"/>
        <family val="3"/>
        <charset val="128"/>
        <scheme val="minor"/>
      </rPr>
      <t>会社を理解してもらおうとする姿勢が強い</t>
    </r>
    <r>
      <rPr>
        <sz val="10"/>
        <color theme="1"/>
        <rFont val="Meiryo UI"/>
        <family val="3"/>
        <charset val="128"/>
        <scheme val="minor"/>
      </rPr>
      <t xml:space="preserve">
・</t>
    </r>
    <r>
      <rPr>
        <b/>
        <u/>
        <sz val="10"/>
        <color theme="1"/>
        <rFont val="Meiryo UI"/>
        <family val="3"/>
        <charset val="128"/>
        <scheme val="minor"/>
      </rPr>
      <t>代表取締役社長がインターンに参加し、企業のカルチャーを直接伝える</t>
    </r>
    <phoneticPr fontId="1"/>
  </si>
  <si>
    <t>企業の姿勢・文化</t>
    <phoneticPr fontId="1"/>
  </si>
  <si>
    <r>
      <t>・</t>
    </r>
    <r>
      <rPr>
        <b/>
        <u/>
        <sz val="10"/>
        <color theme="1"/>
        <rFont val="Meiryo UI"/>
        <family val="3"/>
        <charset val="128"/>
        <scheme val="minor"/>
      </rPr>
      <t>就活生に対して忖度しない姿勢があり、能力だけでなく個人としての特性も見てくれる</t>
    </r>
    <r>
      <rPr>
        <sz val="10"/>
        <color theme="1"/>
        <rFont val="Meiryo UI"/>
        <family val="3"/>
        <charset val="128"/>
        <scheme val="minor"/>
      </rPr>
      <t xml:space="preserve">
・インターンでの</t>
    </r>
    <r>
      <rPr>
        <b/>
        <u/>
        <sz val="10"/>
        <color theme="1"/>
        <rFont val="Meiryo UI"/>
        <family val="3"/>
        <charset val="128"/>
        <scheme val="minor"/>
      </rPr>
      <t>社員のコミットメントが他社と比べて高い</t>
    </r>
    <r>
      <rPr>
        <sz val="10"/>
        <color theme="1"/>
        <rFont val="Meiryo UI"/>
        <family val="3"/>
        <charset val="128"/>
        <scheme val="minor"/>
      </rPr>
      <t xml:space="preserve">
・相手が学生であるとは関係なく、</t>
    </r>
    <r>
      <rPr>
        <b/>
        <u/>
        <sz val="10"/>
        <color theme="1"/>
        <rFont val="Meiryo UI"/>
        <family val="3"/>
        <charset val="128"/>
        <scheme val="minor"/>
      </rPr>
      <t>社会人としての責任(時間内に相手の期待値を超える成果物)を要求する</t>
    </r>
    <r>
      <rPr>
        <sz val="10"/>
        <color theme="1"/>
        <rFont val="Meiryo UI"/>
        <family val="3"/>
        <charset val="128"/>
        <scheme val="minor"/>
      </rPr>
      <t>特徴がある</t>
    </r>
    <phoneticPr fontId="1"/>
  </si>
  <si>
    <t>事前対策の難しさ</t>
    <phoneticPr fontId="1"/>
  </si>
  <si>
    <r>
      <t>・</t>
    </r>
    <r>
      <rPr>
        <b/>
        <u/>
        <sz val="10"/>
        <color theme="1"/>
        <rFont val="Meiryo UI"/>
        <family val="3"/>
        <charset val="128"/>
        <scheme val="minor"/>
      </rPr>
      <t>情報が少なく、事前に対策をすることが難しかった。</t>
    </r>
    <r>
      <rPr>
        <sz val="10"/>
        <color theme="1"/>
        <rFont val="Meiryo UI"/>
        <family val="3"/>
        <charset val="128"/>
        <scheme val="minor"/>
      </rPr>
      <t>その分、</t>
    </r>
    <r>
      <rPr>
        <b/>
        <u/>
        <sz val="10"/>
        <color theme="1"/>
        <rFont val="Meiryo UI"/>
        <family val="3"/>
        <charset val="128"/>
        <scheme val="minor"/>
      </rPr>
      <t>学生一人ひとりをしっかり見ている印象を受けた</t>
    </r>
    <phoneticPr fontId="1"/>
  </si>
  <si>
    <t>■社員・内定者の友人が情報収集に利用していた媒体</t>
    <rPh sb="1" eb="3">
      <t>シャイン</t>
    </rPh>
    <rPh sb="4" eb="7">
      <t>ナイテイシャ</t>
    </rPh>
    <rPh sb="8" eb="10">
      <t>ユウジン</t>
    </rPh>
    <rPh sb="11" eb="15">
      <t>ジョウホウシュウシュウ</t>
    </rPh>
    <rPh sb="16" eb="18">
      <t>リヨウ</t>
    </rPh>
    <rPh sb="22" eb="24">
      <t>バイタイ</t>
    </rPh>
    <phoneticPr fontId="1"/>
  </si>
  <si>
    <t>コメント</t>
    <phoneticPr fontId="1"/>
  </si>
  <si>
    <t>有名企業に行きたいかつ早期に就活を始めている人が利用者に多いイメージ</t>
    <rPh sb="24" eb="27">
      <t>リヨウシャ</t>
    </rPh>
    <rPh sb="28" eb="29">
      <t>オオ</t>
    </rPh>
    <phoneticPr fontId="1"/>
  </si>
  <si>
    <t>OpenWork</t>
    <phoneticPr fontId="1"/>
  </si>
  <si>
    <t>ただし、コンサル志望者はあまり利用していないイメージ。大学4年4月から始める人が利用者に多いイメージ。</t>
    <rPh sb="8" eb="11">
      <t>シボウシャ</t>
    </rPh>
    <rPh sb="15" eb="17">
      <t>リヨウ</t>
    </rPh>
    <rPh sb="27" eb="29">
      <t>ダイガク</t>
    </rPh>
    <rPh sb="40" eb="43">
      <t>リヨウシャ</t>
    </rPh>
    <rPh sb="44" eb="45">
      <t>オオ</t>
    </rPh>
    <phoneticPr fontId="1"/>
  </si>
  <si>
    <t>リクナビ</t>
    <phoneticPr fontId="1"/>
  </si>
  <si>
    <t xml:space="preserve">	X（旧Twitter）</t>
    <phoneticPr fontId="1"/>
  </si>
  <si>
    <t>alternative internships</t>
    <phoneticPr fontId="1"/>
  </si>
  <si>
    <t>YC塾</t>
    <rPh sb="2" eb="3">
      <t>ジュク</t>
    </rPh>
    <phoneticPr fontId="1"/>
  </si>
  <si>
    <t>就活塾（月額制）</t>
    <rPh sb="0" eb="3">
      <t>シュウカツジュク</t>
    </rPh>
    <rPh sb="4" eb="6">
      <t>ゲツガク</t>
    </rPh>
    <rPh sb="6" eb="7">
      <t>セイ</t>
    </rPh>
    <phoneticPr fontId="1"/>
  </si>
  <si>
    <t>月額〇万支払って内定までコーチングしてもらうサービス。商社・コンサル志望の人は使っていたイメージ</t>
    <phoneticPr fontId="1"/>
  </si>
  <si>
    <t>OpenMoney</t>
    <phoneticPr fontId="1"/>
  </si>
  <si>
    <t>大学キャリアセンター</t>
    <rPh sb="0" eb="2">
      <t>ダイガク</t>
    </rPh>
    <phoneticPr fontId="1"/>
  </si>
  <si>
    <t>就活支援団体のイベント</t>
    <rPh sb="0" eb="6">
      <t>シュウカツシエンダンタイ</t>
    </rPh>
    <phoneticPr fontId="1"/>
  </si>
  <si>
    <t>その他</t>
    <rPh sb="2" eb="3">
      <t>ホカ</t>
    </rPh>
    <phoneticPr fontId="1"/>
  </si>
  <si>
    <t>インターン参加してからのメンター制度などを利用しているケースも多い</t>
    <phoneticPr fontId="1"/>
  </si>
  <si>
    <t>■企業情報収集で苦労した点</t>
    <rPh sb="1" eb="5">
      <t>キギョウジョウホウ</t>
    </rPh>
    <rPh sb="5" eb="7">
      <t>シュウシュウ</t>
    </rPh>
    <rPh sb="8" eb="10">
      <t>クロウ</t>
    </rPh>
    <rPh sb="12" eb="13">
      <t>テン</t>
    </rPh>
    <phoneticPr fontId="1"/>
  </si>
  <si>
    <r>
      <t>・どの企業もキラキラしてて、</t>
    </r>
    <r>
      <rPr>
        <b/>
        <u/>
        <sz val="10"/>
        <color theme="1"/>
        <rFont val="Meiryo UI"/>
        <family val="3"/>
        <charset val="128"/>
        <scheme val="minor"/>
      </rPr>
      <t>実態が分かりにくい</t>
    </r>
    <phoneticPr fontId="1"/>
  </si>
  <si>
    <r>
      <t>・コンサル業界は守秘義務があるため</t>
    </r>
    <r>
      <rPr>
        <b/>
        <u/>
        <sz val="10"/>
        <color theme="1"/>
        <rFont val="Meiryo UI"/>
        <family val="3"/>
        <charset val="128"/>
        <scheme val="minor"/>
      </rPr>
      <t>内情や働き方がわかりづらく</t>
    </r>
    <r>
      <rPr>
        <sz val="10"/>
        <color theme="1"/>
        <rFont val="Meiryo UI"/>
        <family val="3"/>
        <charset val="128"/>
        <scheme val="minor"/>
      </rPr>
      <t>、一定ブラックボックスであると感じる。入社後のミスマッチを防ぐ意味でも、なにか感じられるところが有ればと思う</t>
    </r>
    <phoneticPr fontId="1"/>
  </si>
  <si>
    <r>
      <t>・ワンキャリアなどのポータルサイトでは、</t>
    </r>
    <r>
      <rPr>
        <b/>
        <u/>
        <sz val="10"/>
        <color theme="1"/>
        <rFont val="Meiryo UI"/>
        <family val="3"/>
        <charset val="128"/>
        <scheme val="minor"/>
      </rPr>
      <t>各企業の雰囲気を感じにくい</t>
    </r>
    <phoneticPr fontId="1"/>
  </si>
  <si>
    <r>
      <t>・</t>
    </r>
    <r>
      <rPr>
        <sz val="10"/>
        <color theme="1"/>
        <rFont val="Meiryo UI"/>
        <family val="3"/>
        <charset val="128"/>
        <scheme val="minor"/>
      </rPr>
      <t>コンサル業界は全体的に社外秘・未上場(非公開)が多いため、</t>
    </r>
    <r>
      <rPr>
        <b/>
        <sz val="10"/>
        <color theme="1"/>
        <rFont val="Meiryo UI"/>
        <family val="3"/>
        <charset val="128"/>
        <scheme val="minor"/>
      </rPr>
      <t>ど</t>
    </r>
    <r>
      <rPr>
        <b/>
        <u/>
        <sz val="10"/>
        <color theme="1"/>
        <rFont val="Meiryo UI"/>
        <family val="3"/>
        <charset val="128"/>
        <scheme val="minor"/>
      </rPr>
      <t>こも似たようなウェブページ、似たような抽象度の高い実績ばかり載っており、どのような会社なのか、またどのようなクライアントがいるのかが不明瞭</t>
    </r>
    <phoneticPr fontId="1"/>
  </si>
  <si>
    <r>
      <t>・業界・企業研究にかなり時間がかかる。また、</t>
    </r>
    <r>
      <rPr>
        <u/>
        <sz val="10"/>
        <color theme="1"/>
        <rFont val="Meiryo UI"/>
        <family val="3"/>
        <charset val="128"/>
        <scheme val="minor"/>
      </rPr>
      <t>企</t>
    </r>
    <r>
      <rPr>
        <b/>
        <u/>
        <sz val="10"/>
        <color theme="1"/>
        <rFont val="Meiryo UI"/>
        <family val="3"/>
        <charset val="128"/>
        <scheme val="minor"/>
      </rPr>
      <t>業ごとの違いが見えづらく、表面的な部分しか理解できていない</t>
    </r>
    <phoneticPr fontId="1"/>
  </si>
  <si>
    <r>
      <t>・</t>
    </r>
    <r>
      <rPr>
        <b/>
        <u/>
        <sz val="10"/>
        <color theme="1"/>
        <rFont val="Meiryo UI"/>
        <family val="3"/>
        <charset val="128"/>
        <scheme val="minor"/>
      </rPr>
      <t>各企業のHP一社一社に情報を登録していくのが大変</t>
    </r>
    <r>
      <rPr>
        <sz val="10"/>
        <color theme="1"/>
        <rFont val="Meiryo UI"/>
        <family val="3"/>
        <charset val="128"/>
        <scheme val="minor"/>
      </rPr>
      <t>。自身の大学で早期に就活を始めている人が少なく仲間がいなかった。</t>
    </r>
    <rPh sb="23" eb="25">
      <t>タイヘン</t>
    </rPh>
    <phoneticPr fontId="1"/>
  </si>
  <si>
    <r>
      <t>・BDXについて</t>
    </r>
    <r>
      <rPr>
        <b/>
        <u/>
        <sz val="10"/>
        <color theme="1"/>
        <rFont val="Meiryo UI"/>
        <family val="3"/>
        <charset val="128"/>
        <scheme val="minor"/>
      </rPr>
      <t>ネットで公開されている情報が本当に少なく</t>
    </r>
    <r>
      <rPr>
        <sz val="10"/>
        <color theme="1"/>
        <rFont val="Meiryo UI"/>
        <family val="3"/>
        <charset val="128"/>
        <scheme val="minor"/>
      </rPr>
      <t>、AB時代の記事を探して読み漁った。
コンサル業界とベンチャー志望というやや相反した軸を持っていたゆえに私は当社が就活初期から志望度が高めだったのだが、情報が少ないゆえに、</t>
    </r>
    <r>
      <rPr>
        <b/>
        <u/>
        <sz val="10"/>
        <color theme="1"/>
        <rFont val="Meiryo UI"/>
        <family val="3"/>
        <charset val="128"/>
        <scheme val="minor"/>
      </rPr>
      <t>たまに出ている情報がBDXそのままのイメージになる</t>
    </r>
    <r>
      <rPr>
        <sz val="10"/>
        <color theme="1"/>
        <rFont val="Meiryo UI"/>
        <family val="3"/>
        <charset val="128"/>
        <scheme val="minor"/>
      </rPr>
      <t>と思う。</t>
    </r>
    <r>
      <rPr>
        <b/>
        <u/>
        <sz val="10"/>
        <color theme="1"/>
        <rFont val="Meiryo UI"/>
        <family val="3"/>
        <charset val="128"/>
        <scheme val="minor"/>
      </rPr>
      <t>もう少し就活生にコミットした記事があったほうがいい</t>
    </r>
    <r>
      <rPr>
        <sz val="10"/>
        <color theme="1"/>
        <rFont val="Meiryo UI"/>
        <family val="3"/>
        <charset val="128"/>
        <scheme val="minor"/>
      </rPr>
      <t>と思う。</t>
    </r>
    <phoneticPr fontId="1"/>
  </si>
  <si>
    <t>■企業研究で重視した情報</t>
    <rPh sb="1" eb="3">
      <t>キギョウ</t>
    </rPh>
    <rPh sb="3" eb="5">
      <t>ケンキュウ</t>
    </rPh>
    <rPh sb="6" eb="8">
      <t>ジュウシ</t>
    </rPh>
    <rPh sb="10" eb="12">
      <t>ジョウホウ</t>
    </rPh>
    <phoneticPr fontId="1"/>
  </si>
  <si>
    <t>重視した情報</t>
    <rPh sb="0" eb="2">
      <t>ジュウシ</t>
    </rPh>
    <rPh sb="4" eb="6">
      <t>ジョウホウ</t>
    </rPh>
    <phoneticPr fontId="1"/>
  </si>
  <si>
    <t>実際の仕事内容</t>
    <rPh sb="0" eb="2">
      <t>ジッサイ</t>
    </rPh>
    <rPh sb="3" eb="7">
      <t>シゴトナイヨウ</t>
    </rPh>
    <phoneticPr fontId="1"/>
  </si>
  <si>
    <t>社風</t>
    <rPh sb="0" eb="2">
      <t>シャフウ</t>
    </rPh>
    <phoneticPr fontId="1"/>
  </si>
  <si>
    <t>給与水準</t>
    <rPh sb="0" eb="4">
      <t>キュウヨスイジュン</t>
    </rPh>
    <phoneticPr fontId="1"/>
  </si>
  <si>
    <t>キャリアパス</t>
    <phoneticPr fontId="1"/>
  </si>
  <si>
    <t>経営者の考え・ビジョン</t>
    <rPh sb="0" eb="3">
      <t>ケイエイシャ</t>
    </rPh>
    <rPh sb="4" eb="5">
      <t>カンガ</t>
    </rPh>
    <phoneticPr fontId="1"/>
  </si>
  <si>
    <t>他社と比べた強み・弱み</t>
    <rPh sb="0" eb="2">
      <t>タシャ</t>
    </rPh>
    <rPh sb="3" eb="4">
      <t>クラ</t>
    </rPh>
    <rPh sb="6" eb="7">
      <t>ツヨ</t>
    </rPh>
    <rPh sb="9" eb="10">
      <t>ヨワ</t>
    </rPh>
    <phoneticPr fontId="1"/>
  </si>
  <si>
    <t>求める人財像</t>
    <rPh sb="0" eb="1">
      <t>モト</t>
    </rPh>
    <rPh sb="3" eb="6">
      <t>ジンザイゾウ</t>
    </rPh>
    <phoneticPr fontId="1"/>
  </si>
  <si>
    <t>企業実績</t>
    <rPh sb="0" eb="2">
      <t>キギョウ</t>
    </rPh>
    <rPh sb="2" eb="4">
      <t>ジッセキ</t>
    </rPh>
    <phoneticPr fontId="1"/>
  </si>
  <si>
    <t>教育・研修制度</t>
    <rPh sb="0" eb="2">
      <t>キョウイク</t>
    </rPh>
    <rPh sb="3" eb="7">
      <t>ケンシュウセイド</t>
    </rPh>
    <phoneticPr fontId="1"/>
  </si>
  <si>
    <t>転勤・異動の多さ</t>
    <rPh sb="0" eb="2">
      <t>テンキン</t>
    </rPh>
    <rPh sb="3" eb="5">
      <t>イドウ</t>
    </rPh>
    <rPh sb="6" eb="7">
      <t>オオ</t>
    </rPh>
    <phoneticPr fontId="1"/>
  </si>
  <si>
    <t>福利厚生制度</t>
    <rPh sb="0" eb="6">
      <t>フクリコウセイセイド</t>
    </rPh>
    <phoneticPr fontId="1"/>
  </si>
  <si>
    <t>採用実績</t>
    <rPh sb="0" eb="4">
      <t>サイヨウジッセキ</t>
    </rPh>
    <phoneticPr fontId="1"/>
  </si>
  <si>
    <t>柔軟な働き方の制度・実態</t>
    <rPh sb="0" eb="2">
      <t>ジュウナン</t>
    </rPh>
    <rPh sb="3" eb="4">
      <t>ハタラ</t>
    </rPh>
    <rPh sb="5" eb="6">
      <t>カタ</t>
    </rPh>
    <rPh sb="7" eb="9">
      <t>セイド</t>
    </rPh>
    <rPh sb="10" eb="12">
      <t>ジッタイ</t>
    </rPh>
    <phoneticPr fontId="1"/>
  </si>
  <si>
    <t>■ショート動画（Instagramリール、YouTubeショート、TikTok）を使った企業情報提供の可能性</t>
    <phoneticPr fontId="1"/>
  </si>
  <si>
    <t>コメント分類</t>
    <rPh sb="4" eb="6">
      <t>ブンルイ</t>
    </rPh>
    <phoneticPr fontId="1"/>
  </si>
  <si>
    <t>コメント詳細</t>
    <rPh sb="4" eb="6">
      <t>ショウサイ</t>
    </rPh>
    <phoneticPr fontId="1"/>
  </si>
  <si>
    <t>利用されそう。手軽に情報収集できるため</t>
    <phoneticPr fontId="1"/>
  </si>
  <si>
    <t>・「認知」という意味では効果的
・既にホワイト企業紹介のようなショート動画コンテンツはあり、見られているような気がする
・就活生がショート動画形式での企業情報収集を目的に別アプリケーションをDL・アカウント作成を行うハードルは高いと予想されるため、各SNSの特定アカウントが公開しているショート動画を連続再生できた方が、利便性が高いと感じる
・一緒に就活をしていた友達でインスタやTikTokで業界研究をしている人が複数人いた。むしろそちらのほうが主流な気がした。
・公式HPへの誘導に使うのが適切。それ以上は不要
・最近見たのだが、中高生のSNS利用率が私のイメージと大きく乖離していた。
そのため，とりあえず見るかとなる媒体であれば刺さるのではないか。</t>
    <phoneticPr fontId="1"/>
  </si>
  <si>
    <t>認知には有効だが、チープな印象にならないよう注意が必要</t>
    <phoneticPr fontId="1"/>
  </si>
  <si>
    <t>・大手企業・有名企業(一般に多くの人が志望する企業)なほどショート動画形式といったアピールをしない印象があるため、企業の名前を重視する人には刺さりにくい</t>
    <phoneticPr fontId="1"/>
  </si>
  <si>
    <t>業界・企業を絞れていない就活生には有効だが、志望が明確な人には不要</t>
    <phoneticPr fontId="1"/>
  </si>
  <si>
    <t>コンサル業界の実態を伝えるコンテンツがあるなら利用価値がある</t>
    <phoneticPr fontId="1"/>
  </si>
  <si>
    <t>・踏み込んだコンテンツがあれば利用されると思う。コンサルの内情や働き方が分かればいいと思う
・パっと調べて出てくる程度の情報であれば見ない</t>
    <phoneticPr fontId="1"/>
  </si>
  <si>
    <t>利用されなさそう。ショート動画の特徴上、深い情報収集には向かない</t>
    <rPh sb="0" eb="2">
      <t>リヨウ</t>
    </rPh>
    <phoneticPr fontId="1"/>
  </si>
  <si>
    <t>・おぼつかないベンチャー企業のような感覚を受けるので就活生としてはあまり好ましい印象は受けない
・Ig,Youtube等のショート動画は本人の意思によらず、本人が好きそうな動画をプラットフォーム側がサジェストされるから次々スワイプしたくなる設計だと認識している。ゆえに目的意識がある状態ではショートより検索で引っ掛かる長尺の動画の方が需要がありそう。
InstagramやTikTokのショート動画は、様々なジャンルのコンテンツを、目的意識を持たずに視聴できることが強みだと考えています。
一方で、就職活動用のアプリケーションを開くという行為は、InstagramやTikTokとは違い、「就活をしよう」という目的意識を持った能動的な行為であるため、『とりあえず開く』といったアクションは発生しにくいと思います。
そのため、就活用ショート動画はアプリケーションを開くという行為の障壁が、他のアプリに比べて高いため、利用されにくいのではないかと考えています。</t>
    <phoneticPr fontId="1"/>
  </si>
  <si>
    <t>#</t>
    <phoneticPr fontId="1"/>
  </si>
  <si>
    <t>対象者</t>
    <rPh sb="0" eb="3">
      <t>タイショウシャ</t>
    </rPh>
    <phoneticPr fontId="1"/>
  </si>
  <si>
    <t>質問</t>
    <rPh sb="0" eb="2">
      <t>シツモン</t>
    </rPh>
    <phoneticPr fontId="1"/>
  </si>
  <si>
    <t>作田さん</t>
    <rPh sb="0" eb="2">
      <t>サクタ</t>
    </rPh>
    <phoneticPr fontId="1"/>
  </si>
  <si>
    <t>youtube、Xって具体的にどのチャンネル/アカウントから情報を集めた？
└そもそも（友人のおすすめなどから入って）特定のチャンネルとかからなのか、広く検索して一定の基準で自分で選んでいるのか？</t>
    <rPh sb="11" eb="14">
      <t>グタイテキ</t>
    </rPh>
    <rPh sb="30" eb="32">
      <t>ジョウホウ</t>
    </rPh>
    <rPh sb="33" eb="34">
      <t>アツ</t>
    </rPh>
    <rPh sb="44" eb="46">
      <t>ユウジン</t>
    </rPh>
    <rPh sb="55" eb="56">
      <t>ハイ</t>
    </rPh>
    <rPh sb="59" eb="61">
      <t>トクテイ</t>
    </rPh>
    <rPh sb="75" eb="76">
      <t>ヒロ</t>
    </rPh>
    <rPh sb="77" eb="79">
      <t>ケンサク</t>
    </rPh>
    <rPh sb="81" eb="83">
      <t>イッテイ</t>
    </rPh>
    <phoneticPr fontId="1"/>
  </si>
  <si>
    <t>⑥外資就活、ワンキャリア、マイナビ、オープンワーク
→見ていった順序性はあるか？
　（磯貝仮説）外就、マイナビで広く知って、オープンワークで中の社員の声を集めて企業実態の理解を試み、ワンキャリの選考体験記で個別企業を収集？</t>
    <rPh sb="27" eb="28">
      <t>ミ</t>
    </rPh>
    <rPh sb="32" eb="35">
      <t>ジュンジョセイ</t>
    </rPh>
    <rPh sb="43" eb="47">
      <t>イソガイカセツ</t>
    </rPh>
    <rPh sb="48" eb="50">
      <t>ガイシュウ</t>
    </rPh>
    <rPh sb="56" eb="57">
      <t>ヒロ</t>
    </rPh>
    <rPh sb="58" eb="59">
      <t>シ</t>
    </rPh>
    <rPh sb="70" eb="71">
      <t>ナカ</t>
    </rPh>
    <rPh sb="72" eb="74">
      <t>シャイン</t>
    </rPh>
    <rPh sb="75" eb="76">
      <t>コエ</t>
    </rPh>
    <rPh sb="77" eb="78">
      <t>アツ</t>
    </rPh>
    <rPh sb="85" eb="87">
      <t>リカイ</t>
    </rPh>
    <rPh sb="88" eb="89">
      <t>ココロ</t>
    </rPh>
    <rPh sb="97" eb="102">
      <t>センコウタイケンキ</t>
    </rPh>
    <rPh sb="103" eb="107">
      <t>コベツキギョウ</t>
    </rPh>
    <rPh sb="108" eb="110">
      <t>シュウシュウ</t>
    </rPh>
    <phoneticPr fontId="1"/>
  </si>
  <si>
    <t>エントリーをする/しないの境界となっていた企業風土が自分に合うか？の判断について
→特にどの媒体のどの情報から読み取っていたのか？</t>
    <rPh sb="13" eb="15">
      <t>キョウカイ</t>
    </rPh>
    <rPh sb="21" eb="25">
      <t>キギョウフウド</t>
    </rPh>
    <rPh sb="26" eb="28">
      <t>ジブン</t>
    </rPh>
    <rPh sb="29" eb="30">
      <t>ア</t>
    </rPh>
    <rPh sb="34" eb="36">
      <t>ハンダン</t>
    </rPh>
    <rPh sb="42" eb="43">
      <t>トク</t>
    </rPh>
    <rPh sb="46" eb="48">
      <t>バイタイ</t>
    </rPh>
    <rPh sb="51" eb="53">
      <t>ジョウホウ</t>
    </rPh>
    <rPh sb="55" eb="56">
      <t>ヨ</t>
    </rPh>
    <rPh sb="57" eb="58">
      <t>ト</t>
    </rPh>
    <phoneticPr fontId="1"/>
  </si>
  <si>
    <t>企業研究で重視したものについて、どの媒体からの情報が自身の判断に影響したか？</t>
    <rPh sb="0" eb="4">
      <t>キギョウケンキュウ</t>
    </rPh>
    <rPh sb="5" eb="7">
      <t>ジュウシ</t>
    </rPh>
    <rPh sb="18" eb="20">
      <t>バイタイ</t>
    </rPh>
    <rPh sb="23" eb="25">
      <t>ジョウホウ</t>
    </rPh>
    <rPh sb="26" eb="28">
      <t>ジシン</t>
    </rPh>
    <rPh sb="29" eb="31">
      <t>ハンダン</t>
    </rPh>
    <rPh sb="32" eb="34">
      <t>エイキョウ</t>
    </rPh>
    <phoneticPr fontId="1"/>
  </si>
  <si>
    <t>森さん</t>
    <rPh sb="0" eb="1">
      <t>モリ</t>
    </rPh>
    <phoneticPr fontId="1"/>
  </si>
  <si>
    <t>ワンキャリ、外就の何のコンテンツを見ていた？
ワンキャリ
動画/合説/選考体験記
外就
動画/配信/X/学生同士のチャットできる機能/</t>
    <rPh sb="6" eb="8">
      <t>ガイシュウ</t>
    </rPh>
    <rPh sb="9" eb="10">
      <t>ナン</t>
    </rPh>
    <rPh sb="17" eb="18">
      <t>ミ</t>
    </rPh>
    <rPh sb="29" eb="31">
      <t>ドウガ</t>
    </rPh>
    <rPh sb="32" eb="34">
      <t>ゴウセツ</t>
    </rPh>
    <rPh sb="35" eb="40">
      <t>センコウタイケンキ</t>
    </rPh>
    <rPh sb="41" eb="43">
      <t>ガイシュウ</t>
    </rPh>
    <rPh sb="44" eb="46">
      <t>ドウガ</t>
    </rPh>
    <rPh sb="47" eb="49">
      <t>ハイシン</t>
    </rPh>
    <rPh sb="52" eb="56">
      <t>ガクセイドウシ</t>
    </rPh>
    <rPh sb="64" eb="66">
      <t>キノウ</t>
    </rPh>
    <phoneticPr fontId="1"/>
  </si>
  <si>
    <t>高濱さん</t>
    <rPh sb="0" eb="2">
      <t>タカハマ</t>
    </rPh>
    <phoneticPr fontId="1"/>
  </si>
  <si>
    <t>全てデスクトップリサーチで検索しました。「26卒　就活」や「(企業名) 口コミ」などです。
→すべてデスクトップリサーチで、結果として①：日経新聞
⑤：X
⑥：外資就活ドットコム、ワンキャリア
⑦：ビズリーチキャンパス
⑨：open work
が多く引っかかったと理解</t>
    <rPh sb="62" eb="64">
      <t>ケッカ</t>
    </rPh>
    <rPh sb="123" eb="124">
      <t>オオ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</si>
</sst>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yy\ h:mm:ss"/>
    <numFmt numFmtId="177" formatCode="0_);[Red]\(0\)"/>
    <numFmt numFmtId="178" formatCode="0\ &quot;名&quot;"/>
  </numFmts>
  <fonts count="10">
    <font>
      <sz val="11"/>
      <color theme="1"/>
      <name val="Meiryo UI"/>
      <family val="2"/>
      <scheme val="minor"/>
    </font>
    <font>
      <sz val="6"/>
      <name val="Meiryo UI"/>
      <family val="3"/>
      <charset val="128"/>
      <scheme val="minor"/>
    </font>
    <font>
      <b/>
      <sz val="11"/>
      <color theme="1"/>
      <name val="Meiryo UI"/>
      <family val="3"/>
      <charset val="128"/>
      <scheme val="minor"/>
    </font>
    <font>
      <sz val="10"/>
      <color theme="1"/>
      <name val="Meiryo UI"/>
      <family val="2"/>
      <scheme val="minor"/>
    </font>
    <font>
      <sz val="10"/>
      <color theme="1"/>
      <name val="Meiryo UI"/>
      <family val="3"/>
      <charset val="128"/>
      <scheme val="minor"/>
    </font>
    <font>
      <b/>
      <sz val="10"/>
      <color theme="1"/>
      <name val="Meiryo UI"/>
      <family val="3"/>
      <charset val="128"/>
      <scheme val="minor"/>
    </font>
    <font>
      <b/>
      <u/>
      <sz val="10"/>
      <color theme="1"/>
      <name val="Meiryo UI"/>
      <family val="3"/>
      <charset val="128"/>
      <scheme val="minor"/>
    </font>
    <font>
      <sz val="11"/>
      <color theme="1"/>
      <name val="Meiryo UI"/>
      <family val="3"/>
      <charset val="128"/>
      <scheme val="minor"/>
    </font>
    <font>
      <sz val="11"/>
      <color theme="1"/>
      <name val="Meiryo UI"/>
      <family val="2"/>
      <scheme val="minor"/>
    </font>
    <font>
      <u/>
      <sz val="10"/>
      <color theme="1"/>
      <name val="Meiryo UI"/>
      <family val="3"/>
      <charset val="128"/>
      <scheme val="minor"/>
    </font>
  </fonts>
  <fills count="9">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F00"/>
        <bgColor indexed="64"/>
      </patternFill>
    </fill>
  </fills>
  <borders count="34">
    <border>
      <left/>
      <right/>
      <top/>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diagonal/>
    </border>
    <border>
      <left style="hair">
        <color auto="1"/>
      </left>
      <right style="hair">
        <color auto="1"/>
      </right>
      <top style="hair">
        <color auto="1"/>
      </top>
      <bottom/>
      <diagonal/>
    </border>
    <border>
      <left style="hair">
        <color auto="1"/>
      </left>
      <right/>
      <top style="hair">
        <color auto="1"/>
      </top>
      <bottom/>
      <diagonal/>
    </border>
    <border>
      <left style="thin">
        <color indexed="64"/>
      </left>
      <right style="thin">
        <color indexed="64"/>
      </right>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thin">
        <color indexed="64"/>
      </top>
      <bottom style="thin">
        <color theme="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s>
  <cellStyleXfs count="2">
    <xf numFmtId="0" fontId="0" fillId="0" borderId="0"/>
    <xf numFmtId="9" fontId="8" fillId="0" borderId="0" applyFont="0" applyFill="0" applyBorder="0" applyAlignment="0" applyProtection="0">
      <alignment vertical="center"/>
    </xf>
  </cellStyleXfs>
  <cellXfs count="168">
    <xf numFmtId="0" fontId="0" fillId="0" borderId="0" xfId="0"/>
    <xf numFmtId="0" fontId="0" fillId="0" borderId="0" xfId="0" applyAlignment="1">
      <alignment wrapText="1"/>
    </xf>
    <xf numFmtId="0" fontId="0" fillId="2" borderId="1" xfId="0" applyFill="1" applyBorder="1" applyAlignment="1">
      <alignment vertical="top"/>
    </xf>
    <xf numFmtId="0" fontId="0" fillId="2" borderId="2" xfId="0" applyFill="1" applyBorder="1" applyAlignment="1">
      <alignment vertical="top"/>
    </xf>
    <xf numFmtId="0" fontId="0" fillId="2" borderId="2" xfId="0" applyFill="1" applyBorder="1" applyAlignment="1">
      <alignment vertical="top" wrapText="1"/>
    </xf>
    <xf numFmtId="0" fontId="0" fillId="0" borderId="4" xfId="0" applyBorder="1" applyAlignment="1">
      <alignment vertical="top"/>
    </xf>
    <xf numFmtId="176" fontId="0" fillId="0" borderId="5" xfId="0" applyNumberFormat="1" applyBorder="1" applyAlignment="1">
      <alignment vertical="top"/>
    </xf>
    <xf numFmtId="0" fontId="0" fillId="0" borderId="5" xfId="0" applyBorder="1" applyAlignment="1">
      <alignment vertical="top"/>
    </xf>
    <xf numFmtId="177" fontId="0" fillId="0" borderId="5" xfId="0" applyNumberFormat="1"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xf>
    <xf numFmtId="176" fontId="0" fillId="0" borderId="8" xfId="0" applyNumberFormat="1" applyBorder="1" applyAlignment="1">
      <alignment vertical="top"/>
    </xf>
    <xf numFmtId="0" fontId="0" fillId="0" borderId="8" xfId="0" applyBorder="1" applyAlignment="1">
      <alignment vertical="top"/>
    </xf>
    <xf numFmtId="177" fontId="0" fillId="0" borderId="8" xfId="0" applyNumberFormat="1" applyBorder="1" applyAlignment="1">
      <alignment vertical="top"/>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xf>
    <xf numFmtId="176" fontId="0" fillId="0" borderId="11" xfId="0" applyNumberFormat="1" applyBorder="1" applyAlignment="1">
      <alignment vertical="top"/>
    </xf>
    <xf numFmtId="0" fontId="0" fillId="0" borderId="11" xfId="0" applyBorder="1" applyAlignment="1">
      <alignment vertical="top"/>
    </xf>
    <xf numFmtId="177" fontId="0" fillId="0" borderId="11" xfId="0" applyNumberForma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3" fillId="0" borderId="0" xfId="0" applyFont="1" applyAlignment="1">
      <alignment vertical="center"/>
    </xf>
    <xf numFmtId="0" fontId="3" fillId="0" borderId="13" xfId="0" applyFont="1" applyBorder="1" applyAlignment="1">
      <alignment vertical="center"/>
    </xf>
    <xf numFmtId="0" fontId="4" fillId="0" borderId="0" xfId="0" applyFont="1" applyAlignment="1">
      <alignment vertical="center" wrapText="1"/>
    </xf>
    <xf numFmtId="178" fontId="3" fillId="0" borderId="13" xfId="0" applyNumberFormat="1" applyFont="1" applyBorder="1" applyAlignment="1">
      <alignment vertical="center"/>
    </xf>
    <xf numFmtId="178" fontId="5" fillId="0" borderId="13" xfId="0" applyNumberFormat="1" applyFont="1" applyBorder="1" applyAlignment="1">
      <alignment vertical="center"/>
    </xf>
    <xf numFmtId="0" fontId="4" fillId="0" borderId="15" xfId="0" applyFont="1" applyBorder="1" applyAlignment="1">
      <alignment vertical="center" wrapText="1"/>
    </xf>
    <xf numFmtId="178" fontId="3" fillId="0" borderId="15" xfId="0" applyNumberFormat="1" applyFont="1" applyBorder="1" applyAlignment="1">
      <alignment vertical="center"/>
    </xf>
    <xf numFmtId="0" fontId="3" fillId="4" borderId="13" xfId="0" applyFont="1" applyFill="1" applyBorder="1" applyAlignment="1">
      <alignment vertical="center"/>
    </xf>
    <xf numFmtId="0" fontId="3" fillId="4" borderId="0" xfId="0" applyFont="1" applyFill="1" applyAlignment="1">
      <alignment vertical="center"/>
    </xf>
    <xf numFmtId="0" fontId="4" fillId="0" borderId="13" xfId="0" applyFont="1" applyBorder="1" applyAlignment="1">
      <alignment vertical="center"/>
    </xf>
    <xf numFmtId="0" fontId="5" fillId="0" borderId="0" xfId="0" applyFont="1" applyAlignment="1">
      <alignment vertical="center"/>
    </xf>
    <xf numFmtId="0" fontId="5" fillId="3" borderId="13" xfId="0" applyFont="1" applyFill="1" applyBorder="1" applyAlignment="1">
      <alignment vertical="center"/>
    </xf>
    <xf numFmtId="178" fontId="5" fillId="3" borderId="13" xfId="0" applyNumberFormat="1" applyFont="1" applyFill="1" applyBorder="1" applyAlignment="1">
      <alignment vertical="center"/>
    </xf>
    <xf numFmtId="0" fontId="4" fillId="4" borderId="13" xfId="0" applyFont="1" applyFill="1" applyBorder="1" applyAlignment="1">
      <alignment vertical="center"/>
    </xf>
    <xf numFmtId="0" fontId="4" fillId="0" borderId="0" xfId="0" applyFont="1" applyAlignment="1">
      <alignment horizontal="left" vertical="center"/>
    </xf>
    <xf numFmtId="178" fontId="4" fillId="0" borderId="13" xfId="0" applyNumberFormat="1" applyFont="1" applyBorder="1" applyAlignment="1">
      <alignment vertical="center"/>
    </xf>
    <xf numFmtId="0" fontId="5" fillId="5" borderId="13" xfId="0" applyFont="1" applyFill="1" applyBorder="1" applyAlignment="1">
      <alignment vertical="center"/>
    </xf>
    <xf numFmtId="178" fontId="4" fillId="4" borderId="13" xfId="0" applyNumberFormat="1" applyFont="1" applyFill="1" applyBorder="1" applyAlignment="1">
      <alignment vertical="center"/>
    </xf>
    <xf numFmtId="0" fontId="3" fillId="0" borderId="0" xfId="0" applyFont="1"/>
    <xf numFmtId="0" fontId="5" fillId="0" borderId="0" xfId="0" applyFont="1"/>
    <xf numFmtId="177" fontId="0" fillId="0" borderId="18" xfId="0" applyNumberFormat="1" applyBorder="1" applyAlignment="1">
      <alignment vertical="top"/>
    </xf>
    <xf numFmtId="0" fontId="0" fillId="0" borderId="18" xfId="0" applyBorder="1" applyAlignment="1">
      <alignment vertical="top" wrapText="1"/>
    </xf>
    <xf numFmtId="0" fontId="0" fillId="0" borderId="19" xfId="0" applyBorder="1" applyAlignment="1">
      <alignment vertical="top" wrapText="1"/>
    </xf>
    <xf numFmtId="0" fontId="0" fillId="0" borderId="13" xfId="0" applyBorder="1" applyAlignment="1">
      <alignment vertical="top" wrapText="1"/>
    </xf>
    <xf numFmtId="178" fontId="4" fillId="4" borderId="13" xfId="0" applyNumberFormat="1" applyFont="1" applyFill="1" applyBorder="1" applyAlignment="1">
      <alignment vertical="top"/>
    </xf>
    <xf numFmtId="0" fontId="3" fillId="0" borderId="0" xfId="0" applyFont="1" applyAlignment="1">
      <alignment vertical="top"/>
    </xf>
    <xf numFmtId="0" fontId="5" fillId="3" borderId="13" xfId="0" applyFont="1" applyFill="1" applyBorder="1" applyAlignment="1">
      <alignment vertical="top"/>
    </xf>
    <xf numFmtId="178" fontId="5" fillId="3" borderId="13" xfId="0" applyNumberFormat="1" applyFont="1" applyFill="1" applyBorder="1" applyAlignment="1">
      <alignment vertical="top"/>
    </xf>
    <xf numFmtId="0" fontId="5" fillId="3" borderId="17" xfId="0" applyFont="1" applyFill="1" applyBorder="1" applyAlignment="1">
      <alignment vertical="top"/>
    </xf>
    <xf numFmtId="178" fontId="5" fillId="3" borderId="17" xfId="0" applyNumberFormat="1" applyFont="1" applyFill="1" applyBorder="1" applyAlignment="1">
      <alignment vertical="top"/>
    </xf>
    <xf numFmtId="0" fontId="4" fillId="0" borderId="17" xfId="0" applyFont="1" applyBorder="1" applyAlignment="1">
      <alignment vertical="top"/>
    </xf>
    <xf numFmtId="178" fontId="4" fillId="0" borderId="17" xfId="0" applyNumberFormat="1" applyFont="1" applyBorder="1" applyAlignment="1">
      <alignment vertical="top"/>
    </xf>
    <xf numFmtId="0" fontId="5" fillId="3" borderId="13" xfId="0" applyFont="1" applyFill="1" applyBorder="1" applyAlignment="1">
      <alignment vertical="top" wrapText="1"/>
    </xf>
    <xf numFmtId="0" fontId="4" fillId="3" borderId="13" xfId="0" applyFont="1" applyFill="1" applyBorder="1" applyAlignment="1">
      <alignment vertical="top" wrapText="1"/>
    </xf>
    <xf numFmtId="0" fontId="4" fillId="0" borderId="17" xfId="0" applyFont="1" applyBorder="1" applyAlignment="1">
      <alignment vertical="top" wrapText="1"/>
    </xf>
    <xf numFmtId="178" fontId="5" fillId="4" borderId="13" xfId="0" applyNumberFormat="1" applyFont="1" applyFill="1" applyBorder="1" applyAlignment="1">
      <alignment vertical="top"/>
    </xf>
    <xf numFmtId="0" fontId="3" fillId="0" borderId="13" xfId="0" applyFont="1" applyBorder="1" applyAlignment="1">
      <alignment vertical="top"/>
    </xf>
    <xf numFmtId="0" fontId="3" fillId="0" borderId="13" xfId="0" applyFont="1" applyBorder="1" applyAlignment="1">
      <alignment vertical="top" wrapText="1"/>
    </xf>
    <xf numFmtId="0" fontId="3" fillId="0" borderId="15" xfId="0" applyFont="1" applyBorder="1" applyAlignment="1">
      <alignment horizontal="left" vertical="top"/>
    </xf>
    <xf numFmtId="178" fontId="4" fillId="4" borderId="15" xfId="0" applyNumberFormat="1" applyFont="1" applyFill="1" applyBorder="1" applyAlignment="1">
      <alignment horizontal="right" vertical="top"/>
    </xf>
    <xf numFmtId="0" fontId="3" fillId="0" borderId="17" xfId="0" applyFont="1" applyBorder="1" applyAlignment="1">
      <alignment vertical="top" wrapText="1"/>
    </xf>
    <xf numFmtId="0" fontId="3" fillId="0" borderId="15" xfId="0" applyFont="1" applyBorder="1" applyAlignment="1">
      <alignment vertical="top" wrapText="1"/>
    </xf>
    <xf numFmtId="0" fontId="3" fillId="0" borderId="26" xfId="0" applyFont="1" applyBorder="1" applyAlignment="1">
      <alignment vertical="top" wrapText="1"/>
    </xf>
    <xf numFmtId="0" fontId="3" fillId="0" borderId="27" xfId="0" applyFont="1" applyBorder="1" applyAlignment="1">
      <alignment vertical="top" wrapText="1"/>
    </xf>
    <xf numFmtId="0" fontId="5" fillId="3" borderId="17" xfId="0" applyFont="1" applyFill="1" applyBorder="1" applyAlignment="1">
      <alignment vertical="top" wrapText="1"/>
    </xf>
    <xf numFmtId="0" fontId="3" fillId="3" borderId="17" xfId="0" applyFont="1" applyFill="1" applyBorder="1" applyAlignment="1">
      <alignment vertical="top" wrapText="1"/>
    </xf>
    <xf numFmtId="0" fontId="5" fillId="3" borderId="22" xfId="0" applyFont="1" applyFill="1" applyBorder="1" applyAlignment="1">
      <alignment vertical="top" wrapText="1"/>
    </xf>
    <xf numFmtId="0" fontId="3" fillId="3" borderId="22" xfId="0" applyFont="1" applyFill="1" applyBorder="1" applyAlignment="1">
      <alignment vertical="top" wrapText="1"/>
    </xf>
    <xf numFmtId="0" fontId="3" fillId="3" borderId="23" xfId="0" applyFont="1" applyFill="1" applyBorder="1" applyAlignment="1">
      <alignment vertical="top" wrapText="1"/>
    </xf>
    <xf numFmtId="0" fontId="3" fillId="3" borderId="20" xfId="0" applyFont="1" applyFill="1" applyBorder="1" applyAlignment="1">
      <alignment vertical="top" wrapText="1"/>
    </xf>
    <xf numFmtId="0" fontId="3" fillId="3" borderId="21" xfId="0" applyFont="1" applyFill="1" applyBorder="1" applyAlignment="1">
      <alignment vertical="top" wrapText="1"/>
    </xf>
    <xf numFmtId="0" fontId="5" fillId="3" borderId="24" xfId="0" applyFont="1" applyFill="1" applyBorder="1" applyAlignment="1">
      <alignment vertical="top" wrapText="1"/>
    </xf>
    <xf numFmtId="0" fontId="3" fillId="3" borderId="24" xfId="0" applyFont="1" applyFill="1" applyBorder="1" applyAlignment="1">
      <alignment vertical="top" wrapText="1"/>
    </xf>
    <xf numFmtId="0" fontId="3" fillId="3" borderId="13" xfId="0" applyFont="1" applyFill="1" applyBorder="1" applyAlignment="1">
      <alignment vertical="top" wrapText="1"/>
    </xf>
    <xf numFmtId="0" fontId="5" fillId="3" borderId="20" xfId="0" applyFont="1" applyFill="1" applyBorder="1" applyAlignment="1">
      <alignment vertical="top" wrapText="1"/>
    </xf>
    <xf numFmtId="0" fontId="3" fillId="3" borderId="15" xfId="0" applyFont="1" applyFill="1" applyBorder="1" applyAlignment="1">
      <alignment vertical="top" wrapText="1"/>
    </xf>
    <xf numFmtId="0" fontId="5" fillId="0" borderId="15" xfId="0" applyFont="1" applyBorder="1" applyAlignment="1">
      <alignment vertical="top" wrapText="1"/>
    </xf>
    <xf numFmtId="0" fontId="4" fillId="0" borderId="0" xfId="0" applyFont="1" applyAlignment="1">
      <alignment vertical="top" wrapText="1"/>
    </xf>
    <xf numFmtId="0" fontId="0" fillId="0" borderId="0" xfId="0" applyAlignment="1">
      <alignment vertical="top" wrapText="1"/>
    </xf>
    <xf numFmtId="0" fontId="3" fillId="0" borderId="15" xfId="0" applyFont="1" applyBorder="1" applyAlignment="1">
      <alignment vertical="center"/>
    </xf>
    <xf numFmtId="0" fontId="3" fillId="0" borderId="28" xfId="0" applyFont="1" applyBorder="1" applyAlignment="1">
      <alignment vertical="center"/>
    </xf>
    <xf numFmtId="0" fontId="5" fillId="5" borderId="13" xfId="0" applyFont="1" applyFill="1" applyBorder="1" applyAlignment="1">
      <alignment horizontal="left" vertical="center" wrapText="1"/>
    </xf>
    <xf numFmtId="0" fontId="5" fillId="5" borderId="13" xfId="0" applyFont="1" applyFill="1" applyBorder="1" applyAlignment="1">
      <alignment vertical="center" wrapText="1"/>
    </xf>
    <xf numFmtId="0" fontId="4" fillId="0" borderId="13" xfId="0" applyFont="1" applyBorder="1" applyAlignment="1">
      <alignment vertical="top" wrapText="1"/>
    </xf>
    <xf numFmtId="0" fontId="4" fillId="4" borderId="0" xfId="0" applyFont="1" applyFill="1"/>
    <xf numFmtId="0" fontId="2" fillId="0" borderId="0" xfId="0" applyFont="1"/>
    <xf numFmtId="0" fontId="4" fillId="0" borderId="0" xfId="0" applyFont="1" applyAlignment="1">
      <alignment vertical="center"/>
    </xf>
    <xf numFmtId="0" fontId="5" fillId="4" borderId="13" xfId="0" applyFont="1" applyFill="1" applyBorder="1" applyAlignment="1">
      <alignment vertical="top" wrapText="1"/>
    </xf>
    <xf numFmtId="0" fontId="5" fillId="4" borderId="13" xfId="0" applyFont="1" applyFill="1" applyBorder="1" applyAlignment="1">
      <alignment vertical="top"/>
    </xf>
    <xf numFmtId="0" fontId="7" fillId="0" borderId="0" xfId="0" applyFont="1"/>
    <xf numFmtId="0" fontId="4" fillId="4" borderId="13" xfId="0" applyFont="1" applyFill="1" applyBorder="1" applyAlignment="1">
      <alignment vertical="top" wrapText="1"/>
    </xf>
    <xf numFmtId="0" fontId="4" fillId="4" borderId="13" xfId="0" applyFont="1" applyFill="1" applyBorder="1" applyAlignment="1">
      <alignment vertical="top"/>
    </xf>
    <xf numFmtId="0" fontId="5" fillId="5" borderId="25" xfId="0" applyFont="1" applyFill="1" applyBorder="1" applyAlignment="1">
      <alignment vertical="center"/>
    </xf>
    <xf numFmtId="0" fontId="5" fillId="4" borderId="25" xfId="0" applyFont="1" applyFill="1" applyBorder="1" applyAlignment="1">
      <alignment vertical="top" wrapText="1"/>
    </xf>
    <xf numFmtId="0" fontId="5" fillId="4" borderId="25" xfId="0" applyFont="1" applyFill="1" applyBorder="1" applyAlignment="1">
      <alignment vertical="top"/>
    </xf>
    <xf numFmtId="0" fontId="4" fillId="3" borderId="13" xfId="0" applyFont="1" applyFill="1" applyBorder="1" applyAlignment="1">
      <alignment vertical="top"/>
    </xf>
    <xf numFmtId="0" fontId="4" fillId="3" borderId="17" xfId="0" applyFont="1" applyFill="1" applyBorder="1" applyAlignment="1">
      <alignment vertical="top" wrapText="1"/>
    </xf>
    <xf numFmtId="0" fontId="4" fillId="0" borderId="13" xfId="0" applyFont="1" applyBorder="1" applyAlignment="1">
      <alignment vertical="top"/>
    </xf>
    <xf numFmtId="178" fontId="4" fillId="0" borderId="13" xfId="0" applyNumberFormat="1" applyFont="1" applyBorder="1" applyAlignment="1">
      <alignment vertical="top"/>
    </xf>
    <xf numFmtId="0" fontId="4" fillId="0" borderId="13" xfId="0" applyFont="1" applyBorder="1" applyAlignment="1">
      <alignment horizontal="left" vertical="top"/>
    </xf>
    <xf numFmtId="0" fontId="4" fillId="0" borderId="13" xfId="0" applyFont="1" applyBorder="1" applyAlignment="1">
      <alignment horizontal="left" vertical="top" wrapText="1"/>
    </xf>
    <xf numFmtId="178" fontId="4" fillId="0" borderId="16" xfId="0" applyNumberFormat="1" applyFont="1" applyBorder="1" applyAlignment="1">
      <alignment vertical="center"/>
    </xf>
    <xf numFmtId="178" fontId="4" fillId="0" borderId="15" xfId="0" applyNumberFormat="1" applyFont="1" applyBorder="1" applyAlignment="1">
      <alignment vertical="center"/>
    </xf>
    <xf numFmtId="0" fontId="4" fillId="4" borderId="15" xfId="0" applyFont="1" applyFill="1" applyBorder="1" applyAlignment="1">
      <alignment vertical="top"/>
    </xf>
    <xf numFmtId="178" fontId="4" fillId="4" borderId="15" xfId="0" applyNumberFormat="1" applyFont="1" applyFill="1" applyBorder="1" applyAlignment="1">
      <alignment vertical="top"/>
    </xf>
    <xf numFmtId="0" fontId="4" fillId="4" borderId="14" xfId="0" applyFont="1" applyFill="1" applyBorder="1" applyAlignment="1">
      <alignment vertical="top"/>
    </xf>
    <xf numFmtId="178" fontId="4" fillId="4" borderId="14" xfId="0" applyNumberFormat="1" applyFont="1" applyFill="1" applyBorder="1" applyAlignment="1">
      <alignment vertical="top"/>
    </xf>
    <xf numFmtId="0" fontId="5" fillId="5" borderId="13" xfId="0" applyFont="1" applyFill="1" applyBorder="1" applyAlignment="1">
      <alignment horizontal="left" vertical="center"/>
    </xf>
    <xf numFmtId="0" fontId="4" fillId="0" borderId="0" xfId="0" applyFont="1"/>
    <xf numFmtId="0" fontId="4" fillId="0" borderId="28"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4" fillId="0" borderId="0" xfId="0" applyFont="1" applyAlignment="1">
      <alignment horizontal="left"/>
    </xf>
    <xf numFmtId="0" fontId="5" fillId="4" borderId="14" xfId="0" applyFont="1" applyFill="1" applyBorder="1" applyAlignment="1">
      <alignment vertical="top"/>
    </xf>
    <xf numFmtId="178" fontId="5" fillId="4" borderId="14" xfId="0" applyNumberFormat="1" applyFont="1" applyFill="1" applyBorder="1" applyAlignment="1">
      <alignment vertical="top"/>
    </xf>
    <xf numFmtId="0" fontId="0" fillId="6" borderId="2" xfId="0" applyFill="1" applyBorder="1" applyAlignment="1">
      <alignment vertical="top" wrapText="1"/>
    </xf>
    <xf numFmtId="0" fontId="0" fillId="6" borderId="3" xfId="0" applyFill="1" applyBorder="1" applyAlignment="1">
      <alignment vertical="top" wrapText="1"/>
    </xf>
    <xf numFmtId="178" fontId="4" fillId="4" borderId="17" xfId="0" applyNumberFormat="1" applyFont="1" applyFill="1" applyBorder="1" applyAlignment="1">
      <alignment vertical="top"/>
    </xf>
    <xf numFmtId="0" fontId="0" fillId="0" borderId="13" xfId="0" applyBorder="1" applyAlignment="1">
      <alignment vertical="center" wrapText="1"/>
    </xf>
    <xf numFmtId="0" fontId="0" fillId="0" borderId="31" xfId="0" applyBorder="1" applyAlignment="1">
      <alignment vertical="center" wrapText="1"/>
    </xf>
    <xf numFmtId="0" fontId="2" fillId="3" borderId="13" xfId="0" applyFont="1" applyFill="1" applyBorder="1" applyAlignment="1">
      <alignment vertical="center" wrapText="1"/>
    </xf>
    <xf numFmtId="0" fontId="0" fillId="0" borderId="32" xfId="0" applyBorder="1" applyAlignment="1">
      <alignment vertical="center" wrapText="1"/>
    </xf>
    <xf numFmtId="178" fontId="4" fillId="4" borderId="16" xfId="0" applyNumberFormat="1" applyFont="1" applyFill="1" applyBorder="1" applyAlignment="1">
      <alignment vertical="top"/>
    </xf>
    <xf numFmtId="0" fontId="0" fillId="0" borderId="29" xfId="0" applyBorder="1" applyAlignment="1">
      <alignment vertical="center" wrapText="1"/>
    </xf>
    <xf numFmtId="0" fontId="7" fillId="4" borderId="13" xfId="0" applyFont="1" applyFill="1" applyBorder="1" applyAlignment="1">
      <alignment vertical="center" wrapText="1"/>
    </xf>
    <xf numFmtId="0" fontId="4" fillId="0" borderId="0" xfId="0" applyFont="1" applyAlignment="1">
      <alignment vertical="top"/>
    </xf>
    <xf numFmtId="0" fontId="5" fillId="3" borderId="13" xfId="0" applyFont="1" applyFill="1" applyBorder="1"/>
    <xf numFmtId="0" fontId="3" fillId="0" borderId="13" xfId="0" applyFont="1" applyBorder="1"/>
    <xf numFmtId="0" fontId="3" fillId="7" borderId="13" xfId="0" applyFont="1" applyFill="1" applyBorder="1"/>
    <xf numFmtId="0" fontId="3" fillId="0" borderId="15" xfId="0" applyFont="1" applyBorder="1"/>
    <xf numFmtId="0" fontId="3" fillId="0" borderId="14" xfId="0" applyFont="1" applyBorder="1"/>
    <xf numFmtId="178" fontId="3" fillId="0" borderId="14" xfId="0" applyNumberFormat="1" applyFont="1" applyBorder="1" applyAlignment="1">
      <alignment vertical="center"/>
    </xf>
    <xf numFmtId="9" fontId="3" fillId="0" borderId="0" xfId="1" applyFont="1" applyAlignment="1"/>
    <xf numFmtId="0" fontId="3" fillId="0" borderId="14" xfId="0" applyFont="1" applyBorder="1" applyAlignment="1">
      <alignment vertical="center"/>
    </xf>
    <xf numFmtId="178" fontId="4" fillId="0" borderId="0" xfId="0" applyNumberFormat="1" applyFont="1" applyAlignment="1">
      <alignment vertical="center"/>
    </xf>
    <xf numFmtId="0" fontId="4" fillId="0" borderId="33" xfId="0" applyFont="1" applyBorder="1" applyAlignment="1">
      <alignment vertical="center" wrapText="1"/>
    </xf>
    <xf numFmtId="178" fontId="4" fillId="0" borderId="33" xfId="0" applyNumberFormat="1" applyFont="1" applyBorder="1" applyAlignment="1">
      <alignment vertical="center"/>
    </xf>
    <xf numFmtId="0" fontId="0" fillId="8" borderId="8" xfId="0" applyFill="1" applyBorder="1" applyAlignment="1">
      <alignment vertical="top" wrapText="1"/>
    </xf>
    <xf numFmtId="0" fontId="5" fillId="3" borderId="17" xfId="0" applyFont="1" applyFill="1" applyBorder="1" applyAlignment="1">
      <alignment horizontal="left" vertical="top"/>
    </xf>
    <xf numFmtId="0" fontId="5" fillId="3" borderId="15" xfId="0" applyFont="1" applyFill="1" applyBorder="1" applyAlignment="1">
      <alignment horizontal="left" vertical="top"/>
    </xf>
    <xf numFmtId="178" fontId="5" fillId="3" borderId="17" xfId="0" applyNumberFormat="1" applyFont="1" applyFill="1" applyBorder="1" applyAlignment="1">
      <alignment horizontal="right" vertical="top"/>
    </xf>
    <xf numFmtId="178" fontId="5" fillId="3" borderId="15" xfId="0" applyNumberFormat="1" applyFont="1" applyFill="1" applyBorder="1" applyAlignment="1">
      <alignment horizontal="right" vertical="top"/>
    </xf>
    <xf numFmtId="0" fontId="3" fillId="0" borderId="17" xfId="0" applyFont="1" applyBorder="1" applyAlignment="1">
      <alignment horizontal="left" vertical="top"/>
    </xf>
    <xf numFmtId="0" fontId="3" fillId="0" borderId="15" xfId="0" applyFont="1" applyBorder="1" applyAlignment="1">
      <alignment horizontal="left" vertical="top"/>
    </xf>
    <xf numFmtId="178" fontId="4" fillId="4" borderId="17" xfId="0" applyNumberFormat="1" applyFont="1" applyFill="1" applyBorder="1" applyAlignment="1">
      <alignment horizontal="right" vertical="top"/>
    </xf>
    <xf numFmtId="178" fontId="4" fillId="4" borderId="15" xfId="0" applyNumberFormat="1" applyFont="1" applyFill="1" applyBorder="1" applyAlignment="1">
      <alignment horizontal="right" vertical="top"/>
    </xf>
    <xf numFmtId="0" fontId="5" fillId="3" borderId="20" xfId="0" applyFont="1" applyFill="1" applyBorder="1" applyAlignment="1">
      <alignment horizontal="left" vertical="top"/>
    </xf>
    <xf numFmtId="178" fontId="5" fillId="3" borderId="20" xfId="0" applyNumberFormat="1" applyFont="1" applyFill="1" applyBorder="1" applyAlignment="1">
      <alignment horizontal="right" vertical="top"/>
    </xf>
    <xf numFmtId="0" fontId="2" fillId="3" borderId="17" xfId="0" applyFont="1" applyFill="1" applyBorder="1" applyAlignment="1">
      <alignment horizontal="left" vertical="top" wrapText="1"/>
    </xf>
    <xf numFmtId="0" fontId="2" fillId="3" borderId="20" xfId="0" applyFont="1" applyFill="1" applyBorder="1" applyAlignment="1">
      <alignment horizontal="left" vertical="top" wrapText="1"/>
    </xf>
    <xf numFmtId="0" fontId="2" fillId="3" borderId="15" xfId="0" applyFont="1" applyFill="1" applyBorder="1" applyAlignment="1">
      <alignment horizontal="left" vertical="top" wrapText="1"/>
    </xf>
    <xf numFmtId="0" fontId="5" fillId="5" borderId="13" xfId="0" applyFont="1" applyFill="1" applyBorder="1" applyAlignment="1">
      <alignment horizontal="center" vertical="center"/>
    </xf>
    <xf numFmtId="0" fontId="4" fillId="4" borderId="13" xfId="0" applyFont="1" applyFill="1" applyBorder="1" applyAlignment="1">
      <alignment horizontal="left" vertical="top" wrapText="1"/>
    </xf>
    <xf numFmtId="0" fontId="5" fillId="4" borderId="13" xfId="0" applyFont="1" applyFill="1" applyBorder="1" applyAlignment="1">
      <alignment horizontal="left" vertical="top" wrapText="1"/>
    </xf>
    <xf numFmtId="0" fontId="5" fillId="5" borderId="13" xfId="0" applyFont="1" applyFill="1" applyBorder="1" applyAlignment="1">
      <alignment horizontal="left" vertical="center"/>
    </xf>
    <xf numFmtId="0" fontId="4" fillId="3" borderId="13" xfId="0" applyFont="1" applyFill="1" applyBorder="1" applyAlignment="1">
      <alignment horizontal="left" vertical="top" wrapText="1"/>
    </xf>
    <xf numFmtId="0" fontId="4" fillId="4" borderId="14" xfId="0" applyFont="1" applyFill="1" applyBorder="1" applyAlignment="1">
      <alignment horizontal="left" vertical="top" wrapText="1"/>
    </xf>
    <xf numFmtId="0" fontId="5" fillId="4" borderId="15" xfId="0" applyFont="1" applyFill="1" applyBorder="1" applyAlignment="1">
      <alignment horizontal="left" vertical="top" wrapText="1"/>
    </xf>
    <xf numFmtId="0" fontId="4" fillId="0" borderId="13" xfId="0" applyFont="1" applyBorder="1" applyAlignment="1">
      <alignment horizontal="left" vertical="top" wrapText="1"/>
    </xf>
    <xf numFmtId="0" fontId="4" fillId="4" borderId="25" xfId="0" applyFont="1" applyFill="1" applyBorder="1" applyAlignment="1">
      <alignment horizontal="left" vertical="top" wrapText="1"/>
    </xf>
    <xf numFmtId="0" fontId="4" fillId="4" borderId="30" xfId="0" applyFont="1" applyFill="1" applyBorder="1" applyAlignment="1">
      <alignment horizontal="left" vertical="top" wrapText="1"/>
    </xf>
    <xf numFmtId="0" fontId="4" fillId="4" borderId="29" xfId="0" applyFont="1" applyFill="1" applyBorder="1" applyAlignment="1">
      <alignment horizontal="left" vertical="top" wrapText="1"/>
    </xf>
    <xf numFmtId="0" fontId="4" fillId="4" borderId="16" xfId="0" applyFont="1" applyFill="1" applyBorder="1" applyAlignment="1">
      <alignment horizontal="left" vertical="top" wrapText="1"/>
    </xf>
    <xf numFmtId="0" fontId="5" fillId="7" borderId="13" xfId="0" applyFont="1" applyFill="1" applyBorder="1" applyAlignment="1">
      <alignment horizontal="left"/>
    </xf>
    <xf numFmtId="0" fontId="4" fillId="4" borderId="15" xfId="0" applyFont="1" applyFill="1" applyBorder="1" applyAlignment="1">
      <alignment horizontal="left" vertical="top" wrapText="1"/>
    </xf>
  </cellXfs>
  <cellStyles count="2">
    <cellStyle name="パーセント" xfId="1" builtinId="5"/>
    <cellStyle name="標準" xfId="0" builtinId="0"/>
  </cellStyles>
  <dxfs count="38">
    <dxf>
      <alignment horizontal="general" vertical="bottom" textRotation="0" wrapText="1" indent="0" justifyLastLine="0" shrinkToFit="0" readingOrder="0"/>
    </dxf>
    <dxf>
      <border outline="0">
        <bottom style="thin">
          <color auto="1"/>
        </bottom>
      </border>
    </dxf>
    <dxf>
      <fill>
        <patternFill patternType="solid">
          <fgColor indexed="64"/>
          <bgColor theme="0" tint="-0.14999847407452621"/>
        </patternFill>
      </fill>
      <alignment horizontal="general" vertical="top" textRotation="0" wrapText="0" indent="0" justifyLastLine="0" shrinkToFit="0" readingOrder="0"/>
      <border diagonalUp="0" diagonalDown="0" outline="0">
        <left style="hair">
          <color auto="1"/>
        </left>
        <right style="hair">
          <color auto="1"/>
        </right>
        <top/>
        <bottom/>
      </border>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76" formatCode="m/d/yy\ h:mm:ss"/>
    </dxf>
    <dxf>
      <numFmt numFmtId="176" formatCode="m/d/yy\ h:mm:ss"/>
    </dxf>
    <dxf>
      <numFmt numFmtId="0" formatCode="General"/>
    </dxf>
    <dxf>
      <numFmt numFmtId="0" formatCode="General"/>
    </dxf>
    <dxf>
      <numFmt numFmtId="176" formatCode="m/d/yy\ h:mm:ss"/>
    </dxf>
    <dxf>
      <numFmt numFmtId="176" formatCode="m/d/yy\ h:mm:ss"/>
    </dxf>
    <dxf>
      <numFmt numFmtId="0" formatCode="General"/>
    </dxf>
    <dxf>
      <border>
        <bottom style="thin">
          <color indexed="64"/>
        </bottom>
      </border>
    </dxf>
    <dxf>
      <fill>
        <patternFill patternType="solid">
          <fgColor indexed="64"/>
          <bgColor theme="0" tint="-0.14999847407452621"/>
        </patternFill>
      </fill>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84833F-0AF3-4A5E-BFA8-738E051B7A77}" name="Table1" displayName="Table1" ref="A1:AG14" totalsRowShown="0" headerRowDxfId="37" headerRowBorderDxfId="36">
  <autoFilter ref="A1:AG14" xr:uid="{00000000-0009-0000-0100-000001000000}">
    <filterColumn colId="6">
      <filters>
        <filter val="23"/>
        <filter val="24"/>
      </filters>
    </filterColumn>
  </autoFilter>
  <sortState xmlns:xlrd2="http://schemas.microsoft.com/office/spreadsheetml/2017/richdata2" ref="A2:AG11">
    <sortCondition ref="G1:G14"/>
  </sortState>
  <tableColumns count="33">
    <tableColumn id="1" xr3:uid="{B7848BD1-97F9-4457-BC08-1CAEE36AC9A9}" name="ID" dataDxfId="35"/>
    <tableColumn id="2" xr3:uid="{FC4DAC89-DF4E-4570-A5DA-E9D4453816F0}" name="開始時刻" dataDxfId="34"/>
    <tableColumn id="3" xr3:uid="{AEB3ACD5-1617-47FA-A337-F9FD1BEDB7DE}" name="完了時刻" dataDxfId="33"/>
    <tableColumn id="4" xr3:uid="{2B1C4BF9-E0DA-404C-93CB-E85A6241F4DA}" name="メール" dataDxfId="32"/>
    <tableColumn id="5" xr3:uid="{0E84832F-7849-42E1-895B-54C685243674}" name="名前" dataDxfId="31"/>
    <tableColumn id="6" xr3:uid="{4EC717EB-4DFB-474D-97D4-43F688716F6B}" name="最終変更時刻" dataDxfId="30"/>
    <tableColumn id="33" xr3:uid="{EE8252D7-0162-4001-BF0E-BFC2CEB825C9}" name="卒年度" dataDxfId="29"/>
    <tableColumn id="7" xr3:uid="{9E7976BC-BAAA-4158-AB7B-368E08DA5CDA}" name="お名前を教えて下さい。" dataDxfId="28"/>
    <tableColumn id="8" xr3:uid="{ED158EF2-5E22-41C5-92B5-447201FC82EC}" name="就職活動を開始した時期はいつですか？" dataDxfId="27"/>
    <tableColumn id="9" xr3:uid="{D94BFB2F-A6CF-4490-930A-3D50AC044925}" name="なぜその時期に就職活動を開始しましたか？" dataDxfId="26"/>
    <tableColumn id="10" xr3:uid="{545E7436-A65D-4D82-91F1-E00053EB4EDB}" name="就職活動開始時に興味のあった業界はどこですか？" dataDxfId="25"/>
    <tableColumn id="11" xr3:uid="{76757ECD-4679-4569-82E4-C482CD2C62AD}" name="なぜその業界に興味を持っていましたか？" dataDxfId="24"/>
    <tableColumn id="12" xr3:uid="{9D3BBA86-1D98-4490-BC18-768BEFC2DCDE}" name="就職活動において、業界を知るために利用した情報源をすべて選択してください。" dataDxfId="23"/>
    <tableColumn id="13" xr3:uid="{D254D833-42EF-4CBB-BEAD-46EA5913AD6A}" name="①～⑧、⑩、⑪のいずれかにチェックを付けた方に質問です。具体的な媒体・イベント名を教えてください。" dataDxfId="22"/>
    <tableColumn id="14" xr3:uid="{F257870A-5BAC-40E0-9060-8A903D08FA3E}" name="7.にお答え頂いた方に質問です。その媒体・イベントをどうやって知りましたか？" dataDxfId="21"/>
    <tableColumn id="15" xr3:uid="{358FE88A-0B3C-454B-9786-45C135D577F7}" name="主に研究をした業界はどこですか？" dataDxfId="20"/>
    <tableColumn id="16" xr3:uid="{DE645EF4-619E-4EAD-ABE4-B4F3D3B6DCB6}" name="業界研究をした結果、興味を持った業界はどこですか？就活中一度でも興味を持った業界はすべて選択してください。" dataDxfId="19"/>
    <tableColumn id="17" xr3:uid="{6610EEC1-26E7-4A55-87C9-73266C12B13E}" name="なぜその業界に興味を持ちましたか？" dataDxfId="18"/>
    <tableColumn id="18" xr3:uid="{82E6E606-29C4-4151-BE97-7A8907E3A4CD}" name="個々の企業について詳しく知るために利用した情報源をすべて選択してください。" dataDxfId="17"/>
    <tableColumn id="19" xr3:uid="{A5119383-EF79-4652-B84B-74C11238A67F}" name="①～⑧、⑩、⑪、⑯のいずれかにチェックを付けた方に質問です。具体的な媒体・イベント名を教えてください。" dataDxfId="16"/>
    <tableColumn id="20" xr3:uid="{5DABAD5B-AC27-46B0-B5BE-4C7DB65A5D01}" name="13.にお答え頂いた方に質問です。その媒体・イベントをどうやって知りましたか？" dataDxfId="15"/>
    <tableColumn id="21" xr3:uid="{8B2C73C6-0890-4B42-9C80-2136CADF99AF}" name="情報収集を行った企業名を具体的に教えてください。" dataDxfId="14"/>
    <tableColumn id="22" xr3:uid="{1EA1B7C8-51A5-4301-8A16-AD9A37FCD9FA}" name="実際にエントリーした企業名を具体的に教えてください。" dataDxfId="13"/>
    <tableColumn id="23" xr3:uid="{9B5EF335-227F-4C61-83DB-7B607A4E6AF2}" name="なぜその企業をエントリーしましたか？また、エントリーしなかった企業の優先度が低かったのはなぜですか？" dataDxfId="12"/>
    <tableColumn id="24" xr3:uid="{567E03B4-7351-49C7-BCF1-A6EF9A55E2E2}" name="主にどの就活媒体を利用してエントリーしましたか？" dataDxfId="11"/>
    <tableColumn id="25" xr3:uid="{9B398686-008C-4AE2-811E-A84C6575F7D1}" name="B&amp;DXをいつ頃知りましたか？" dataDxfId="10"/>
    <tableColumn id="26" xr3:uid="{7BB430C4-E3CB-44EB-90BF-8B1F530AD709}" name="どうやってB&amp;DXを知りましたか？具体的なルートを教えてください。" dataDxfId="9"/>
    <tableColumn id="27" xr3:uid="{D0829DFF-4FD5-4D9D-A3D4-7A114559D118}" name="なぜB&amp;DXにエントリーしようと思いましたか？" dataDxfId="8"/>
    <tableColumn id="28" xr3:uid="{CB0E8FF1-BBE4-412B-A35B-6F1AA35C97AC}" name="他社の選考と比較してB&amp;DXの選考にはどのような特徴があると思いましたか？" dataDxfId="7"/>
    <tableColumn id="29" xr3:uid="{1717F72B-28AF-42C8-98FB-C957BD8A2B53}" name="皆さんの周りの友人が主に企業情報収集に利用していた媒体・機会・イベントはなんでしたか？分かる範囲で教えてください。" dataDxfId="6"/>
    <tableColumn id="30" xr3:uid="{56DBCC50-55AD-4050-AA06-4C0D240D219B}" name="業界や企業について情報収集をする際に、困ったり不便だと感じたことがあれば教えてください。" dataDxfId="5"/>
    <tableColumn id="31" xr3:uid="{81613C4D-06D9-4DB7-BC7A-A355B0984D55}" name="企業研究を行う際に、重視した情報をすべて選択してください。" dataDxfId="4"/>
    <tableColumn id="32" xr3:uid="{66B7589F-EC55-4BF3-AF64-C8329668E713}" name="Instagramのリール・YouTubeショート・TikTokのようなショート動画形式で次々と企業の情報が流れてくる媒体があった場合、企業研究を行う就活生に利用されそうですか？ご意見をお聞かせください。" dataDxf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7B3976-3168-453C-A28B-D1C1B2B503DE}" name="テーブル2" displayName="テーブル2" ref="B2:C8" totalsRowShown="0" headerRowDxfId="2" headerRowBorderDxfId="1">
  <autoFilter ref="B2:C8" xr:uid="{867B3976-3168-453C-A28B-D1C1B2B503DE}"/>
  <tableColumns count="2">
    <tableColumn id="1" xr3:uid="{28B70358-335C-4BC6-AEE9-9CC99E8DA84D}" name="対象者"/>
    <tableColumn id="2" xr3:uid="{18E9F859-0A9B-41A0-BDFB-4C5A798BC489}" name="質問"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460F3-E529-445B-825F-444696ED3F47}">
  <dimension ref="A1:AG16"/>
  <sheetViews>
    <sheetView tabSelected="1" zoomScale="55" zoomScaleNormal="55" workbookViewId="0">
      <pane xSplit="8" ySplit="1" topLeftCell="I2" activePane="bottomRight" state="frozen"/>
      <selection pane="bottomRight"/>
      <selection pane="bottomLeft" activeCell="A2" sqref="A2"/>
      <selection pane="topRight" activeCell="I1" sqref="I1"/>
    </sheetView>
  </sheetViews>
  <sheetFormatPr defaultRowHeight="15"/>
  <cols>
    <col min="1" max="1" width="5.44140625" customWidth="1"/>
    <col min="2" max="6" width="17.77734375" hidden="1" customWidth="1"/>
    <col min="7" max="7" width="10.77734375" customWidth="1"/>
    <col min="8" max="12" width="17.77734375" bestFit="1" customWidth="1"/>
    <col min="13" max="13" width="20.88671875" customWidth="1"/>
    <col min="14" max="33" width="17.77734375" bestFit="1" customWidth="1"/>
  </cols>
  <sheetData>
    <row r="1" spans="1:33" ht="120">
      <c r="A1" s="2" t="s">
        <v>0</v>
      </c>
      <c r="B1" s="3" t="s">
        <v>1</v>
      </c>
      <c r="C1" s="3" t="s">
        <v>2</v>
      </c>
      <c r="D1" s="3" t="s">
        <v>3</v>
      </c>
      <c r="E1" s="3" t="s">
        <v>4</v>
      </c>
      <c r="F1" s="3" t="s">
        <v>5</v>
      </c>
      <c r="G1" s="3"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118" t="s">
        <v>29</v>
      </c>
      <c r="AE1" s="118" t="s">
        <v>30</v>
      </c>
      <c r="AF1" s="118" t="s">
        <v>31</v>
      </c>
      <c r="AG1" s="119" t="s">
        <v>32</v>
      </c>
    </row>
    <row r="2" spans="1:33" ht="272.45" customHeight="1">
      <c r="A2" s="5">
        <v>6</v>
      </c>
      <c r="B2" s="6">
        <v>45726.7905902778</v>
      </c>
      <c r="C2" s="6">
        <v>45726.8071180556</v>
      </c>
      <c r="D2" s="7" t="s">
        <v>33</v>
      </c>
      <c r="E2" s="7"/>
      <c r="F2" s="6"/>
      <c r="G2" s="8">
        <v>23</v>
      </c>
      <c r="H2" s="9" t="s">
        <v>34</v>
      </c>
      <c r="I2" s="9" t="s">
        <v>35</v>
      </c>
      <c r="J2" s="9" t="s">
        <v>36</v>
      </c>
      <c r="K2" s="9" t="s">
        <v>37</v>
      </c>
      <c r="L2" s="9" t="s">
        <v>38</v>
      </c>
      <c r="M2" s="9" t="s">
        <v>39</v>
      </c>
      <c r="N2" s="9" t="s">
        <v>40</v>
      </c>
      <c r="O2" s="9" t="s">
        <v>41</v>
      </c>
      <c r="P2" s="9" t="s">
        <v>42</v>
      </c>
      <c r="Q2" s="9" t="s">
        <v>43</v>
      </c>
      <c r="R2" s="9" t="s">
        <v>44</v>
      </c>
      <c r="S2" s="9" t="s">
        <v>45</v>
      </c>
      <c r="T2" s="9" t="s">
        <v>46</v>
      </c>
      <c r="U2" s="9" t="s">
        <v>47</v>
      </c>
      <c r="V2" s="9" t="s">
        <v>48</v>
      </c>
      <c r="W2" s="9" t="s">
        <v>49</v>
      </c>
      <c r="X2" s="9" t="s">
        <v>50</v>
      </c>
      <c r="Y2" s="9" t="s">
        <v>51</v>
      </c>
      <c r="Z2" s="9" t="s">
        <v>52</v>
      </c>
      <c r="AA2" s="9" t="s">
        <v>53</v>
      </c>
      <c r="AB2" s="9" t="s">
        <v>54</v>
      </c>
      <c r="AC2" s="9" t="s">
        <v>55</v>
      </c>
      <c r="AD2" s="9" t="s">
        <v>56</v>
      </c>
      <c r="AE2" s="9" t="s">
        <v>57</v>
      </c>
      <c r="AF2" s="9" t="s">
        <v>58</v>
      </c>
      <c r="AG2" s="10" t="s">
        <v>59</v>
      </c>
    </row>
    <row r="3" spans="1:33" ht="240">
      <c r="A3" s="11">
        <v>16</v>
      </c>
      <c r="B3" s="12">
        <v>45734.512037036999</v>
      </c>
      <c r="C3" s="12">
        <v>45734.639513888898</v>
      </c>
      <c r="D3" s="13" t="s">
        <v>33</v>
      </c>
      <c r="E3" s="13"/>
      <c r="F3" s="12"/>
      <c r="G3" s="14">
        <v>23</v>
      </c>
      <c r="H3" s="15" t="s">
        <v>60</v>
      </c>
      <c r="I3" s="15" t="s">
        <v>61</v>
      </c>
      <c r="J3" s="15" t="s">
        <v>62</v>
      </c>
      <c r="K3" s="15" t="s">
        <v>63</v>
      </c>
      <c r="L3" s="15" t="s">
        <v>64</v>
      </c>
      <c r="M3" s="15" t="s">
        <v>65</v>
      </c>
      <c r="N3" s="15" t="s">
        <v>66</v>
      </c>
      <c r="O3" s="15" t="s">
        <v>67</v>
      </c>
      <c r="P3" s="15" t="s">
        <v>68</v>
      </c>
      <c r="Q3" s="15" t="s">
        <v>68</v>
      </c>
      <c r="R3" s="15" t="s">
        <v>69</v>
      </c>
      <c r="S3" s="15" t="s">
        <v>70</v>
      </c>
      <c r="T3" s="15" t="s">
        <v>71</v>
      </c>
      <c r="U3" s="15" t="s">
        <v>67</v>
      </c>
      <c r="V3" s="15" t="s">
        <v>72</v>
      </c>
      <c r="W3" s="15" t="s">
        <v>73</v>
      </c>
      <c r="X3" s="15" t="s">
        <v>74</v>
      </c>
      <c r="Y3" s="15" t="s">
        <v>75</v>
      </c>
      <c r="Z3" s="15" t="s">
        <v>76</v>
      </c>
      <c r="AA3" s="15" t="s">
        <v>77</v>
      </c>
      <c r="AB3" s="15" t="s">
        <v>78</v>
      </c>
      <c r="AC3" s="15" t="s">
        <v>79</v>
      </c>
      <c r="AD3" s="15" t="s">
        <v>80</v>
      </c>
      <c r="AE3" s="15" t="s">
        <v>81</v>
      </c>
      <c r="AF3" s="15" t="s">
        <v>82</v>
      </c>
      <c r="AG3" s="16" t="s">
        <v>83</v>
      </c>
    </row>
    <row r="4" spans="1:33" ht="240">
      <c r="A4" s="11">
        <v>4</v>
      </c>
      <c r="B4" s="12">
        <v>45726.753703703696</v>
      </c>
      <c r="C4" s="12">
        <v>45726.7742013889</v>
      </c>
      <c r="D4" s="13" t="s">
        <v>33</v>
      </c>
      <c r="E4" s="13"/>
      <c r="F4" s="12"/>
      <c r="G4" s="14">
        <v>24</v>
      </c>
      <c r="H4" s="15" t="s">
        <v>84</v>
      </c>
      <c r="I4" s="15" t="s">
        <v>85</v>
      </c>
      <c r="J4" s="15" t="s">
        <v>86</v>
      </c>
      <c r="K4" s="140" t="s">
        <v>87</v>
      </c>
      <c r="L4" s="15" t="s">
        <v>88</v>
      </c>
      <c r="M4" s="15" t="s">
        <v>89</v>
      </c>
      <c r="N4" s="15" t="s">
        <v>90</v>
      </c>
      <c r="O4" s="15" t="s">
        <v>91</v>
      </c>
      <c r="P4" s="15" t="s">
        <v>92</v>
      </c>
      <c r="Q4" s="15" t="s">
        <v>93</v>
      </c>
      <c r="R4" s="15" t="s">
        <v>94</v>
      </c>
      <c r="S4" s="15" t="s">
        <v>95</v>
      </c>
      <c r="T4" s="15" t="s">
        <v>96</v>
      </c>
      <c r="U4" s="15" t="s">
        <v>97</v>
      </c>
      <c r="V4" s="15" t="s">
        <v>98</v>
      </c>
      <c r="W4" s="140" t="s">
        <v>99</v>
      </c>
      <c r="X4" s="15" t="s">
        <v>100</v>
      </c>
      <c r="Y4" s="15" t="s">
        <v>101</v>
      </c>
      <c r="Z4" s="15" t="s">
        <v>102</v>
      </c>
      <c r="AA4" s="15" t="s">
        <v>103</v>
      </c>
      <c r="AB4" s="15" t="s">
        <v>104</v>
      </c>
      <c r="AC4" s="15" t="s">
        <v>105</v>
      </c>
      <c r="AD4" s="15" t="s">
        <v>106</v>
      </c>
      <c r="AE4" s="15"/>
      <c r="AF4" s="15" t="s">
        <v>107</v>
      </c>
      <c r="AG4" s="16"/>
    </row>
    <row r="5" spans="1:33" ht="345">
      <c r="A5" s="11">
        <v>5</v>
      </c>
      <c r="B5" s="12">
        <v>45726.740543981497</v>
      </c>
      <c r="C5" s="12">
        <v>45726.7866782407</v>
      </c>
      <c r="D5" s="13" t="s">
        <v>33</v>
      </c>
      <c r="E5" s="13"/>
      <c r="F5" s="12"/>
      <c r="G5" s="14">
        <v>24</v>
      </c>
      <c r="H5" s="15" t="s">
        <v>108</v>
      </c>
      <c r="I5" s="15" t="s">
        <v>109</v>
      </c>
      <c r="J5" s="15" t="s">
        <v>110</v>
      </c>
      <c r="K5" s="140" t="s">
        <v>111</v>
      </c>
      <c r="L5" s="15" t="s">
        <v>112</v>
      </c>
      <c r="M5" s="15" t="s">
        <v>113</v>
      </c>
      <c r="N5" s="15" t="s">
        <v>114</v>
      </c>
      <c r="O5" s="15" t="s">
        <v>115</v>
      </c>
      <c r="P5" s="15" t="s">
        <v>43</v>
      </c>
      <c r="Q5" s="15" t="s">
        <v>43</v>
      </c>
      <c r="R5" s="15" t="s">
        <v>116</v>
      </c>
      <c r="S5" s="15" t="s">
        <v>117</v>
      </c>
      <c r="T5" s="15" t="s">
        <v>118</v>
      </c>
      <c r="U5" s="15" t="s">
        <v>119</v>
      </c>
      <c r="V5" s="15" t="s">
        <v>120</v>
      </c>
      <c r="W5" s="140" t="s">
        <v>121</v>
      </c>
      <c r="X5" s="15" t="s">
        <v>122</v>
      </c>
      <c r="Y5" s="15" t="s">
        <v>123</v>
      </c>
      <c r="Z5" s="15" t="s">
        <v>124</v>
      </c>
      <c r="AA5" s="15" t="s">
        <v>125</v>
      </c>
      <c r="AB5" s="15" t="s">
        <v>126</v>
      </c>
      <c r="AC5" s="15" t="s">
        <v>127</v>
      </c>
      <c r="AD5" s="15" t="s">
        <v>128</v>
      </c>
      <c r="AE5" s="15" t="s">
        <v>129</v>
      </c>
      <c r="AF5" s="15" t="s">
        <v>130</v>
      </c>
      <c r="AG5" s="16" t="s">
        <v>131</v>
      </c>
    </row>
    <row r="6" spans="1:33" ht="180">
      <c r="A6" s="11">
        <v>8</v>
      </c>
      <c r="B6" s="12">
        <v>45727.427986111099</v>
      </c>
      <c r="C6" s="12">
        <v>45727.449560185203</v>
      </c>
      <c r="D6" s="13" t="s">
        <v>33</v>
      </c>
      <c r="E6" s="13"/>
      <c r="F6" s="12"/>
      <c r="G6" s="14">
        <v>24</v>
      </c>
      <c r="H6" s="15" t="s">
        <v>132</v>
      </c>
      <c r="I6" s="15" t="s">
        <v>133</v>
      </c>
      <c r="J6" s="15" t="s">
        <v>134</v>
      </c>
      <c r="K6" s="140" t="s">
        <v>135</v>
      </c>
      <c r="L6" s="15" t="s">
        <v>136</v>
      </c>
      <c r="M6" s="15" t="s">
        <v>137</v>
      </c>
      <c r="N6" s="15" t="s">
        <v>138</v>
      </c>
      <c r="O6" s="15" t="s">
        <v>139</v>
      </c>
      <c r="P6" s="15" t="s">
        <v>140</v>
      </c>
      <c r="Q6" s="15" t="s">
        <v>43</v>
      </c>
      <c r="R6" s="15" t="s">
        <v>141</v>
      </c>
      <c r="S6" s="15" t="s">
        <v>142</v>
      </c>
      <c r="T6" s="15" t="s">
        <v>143</v>
      </c>
      <c r="U6" s="15" t="s">
        <v>144</v>
      </c>
      <c r="V6" s="15" t="s">
        <v>145</v>
      </c>
      <c r="W6" s="140" t="s">
        <v>145</v>
      </c>
      <c r="X6" s="15" t="s">
        <v>146</v>
      </c>
      <c r="Y6" s="15" t="s">
        <v>147</v>
      </c>
      <c r="Z6" s="15" t="s">
        <v>148</v>
      </c>
      <c r="AA6" s="15" t="s">
        <v>149</v>
      </c>
      <c r="AB6" s="15" t="s">
        <v>150</v>
      </c>
      <c r="AC6" s="15" t="s">
        <v>151</v>
      </c>
      <c r="AD6" s="15" t="s">
        <v>152</v>
      </c>
      <c r="AE6" s="15" t="s">
        <v>153</v>
      </c>
      <c r="AF6" s="15" t="s">
        <v>154</v>
      </c>
      <c r="AG6" s="16" t="s">
        <v>155</v>
      </c>
    </row>
    <row r="7" spans="1:33" ht="360">
      <c r="A7" s="11">
        <v>9</v>
      </c>
      <c r="B7" s="12">
        <v>45727.615046296298</v>
      </c>
      <c r="C7" s="12">
        <v>45727.633043981499</v>
      </c>
      <c r="D7" s="13" t="s">
        <v>33</v>
      </c>
      <c r="E7" s="13"/>
      <c r="F7" s="12"/>
      <c r="G7" s="14">
        <v>24</v>
      </c>
      <c r="H7" s="15" t="s">
        <v>156</v>
      </c>
      <c r="I7" s="15" t="s">
        <v>109</v>
      </c>
      <c r="J7" s="15" t="s">
        <v>157</v>
      </c>
      <c r="K7" s="140" t="s">
        <v>158</v>
      </c>
      <c r="L7" s="15" t="s">
        <v>159</v>
      </c>
      <c r="M7" s="15" t="s">
        <v>160</v>
      </c>
      <c r="N7" s="15" t="s">
        <v>161</v>
      </c>
      <c r="O7" s="15" t="s">
        <v>162</v>
      </c>
      <c r="P7" s="15" t="s">
        <v>43</v>
      </c>
      <c r="Q7" s="15" t="s">
        <v>43</v>
      </c>
      <c r="R7" s="15" t="s">
        <v>163</v>
      </c>
      <c r="S7" s="15" t="s">
        <v>164</v>
      </c>
      <c r="T7" s="15"/>
      <c r="U7" s="15"/>
      <c r="V7" s="15" t="s">
        <v>165</v>
      </c>
      <c r="W7" s="140" t="s">
        <v>165</v>
      </c>
      <c r="X7" s="15" t="s">
        <v>166</v>
      </c>
      <c r="Y7" s="15" t="s">
        <v>75</v>
      </c>
      <c r="Z7" s="15" t="s">
        <v>167</v>
      </c>
      <c r="AA7" s="15" t="s">
        <v>168</v>
      </c>
      <c r="AB7" s="15" t="s">
        <v>169</v>
      </c>
      <c r="AC7" s="15" t="s">
        <v>170</v>
      </c>
      <c r="AD7" s="15" t="s">
        <v>171</v>
      </c>
      <c r="AE7" s="15" t="s">
        <v>172</v>
      </c>
      <c r="AF7" s="15" t="s">
        <v>173</v>
      </c>
      <c r="AG7" s="16" t="s">
        <v>174</v>
      </c>
    </row>
    <row r="8" spans="1:33" ht="165">
      <c r="A8" s="11">
        <v>11</v>
      </c>
      <c r="B8" s="12">
        <v>45730.613749999997</v>
      </c>
      <c r="C8" s="12">
        <v>45730.643958333298</v>
      </c>
      <c r="D8" s="13" t="s">
        <v>33</v>
      </c>
      <c r="E8" s="13"/>
      <c r="F8" s="12"/>
      <c r="G8" s="14">
        <v>24</v>
      </c>
      <c r="H8" s="15" t="s">
        <v>175</v>
      </c>
      <c r="I8" s="15" t="s">
        <v>109</v>
      </c>
      <c r="J8" s="15" t="s">
        <v>176</v>
      </c>
      <c r="K8" s="15" t="s">
        <v>177</v>
      </c>
      <c r="L8" s="15" t="s">
        <v>178</v>
      </c>
      <c r="M8" s="15" t="s">
        <v>179</v>
      </c>
      <c r="N8" s="15" t="s">
        <v>180</v>
      </c>
      <c r="O8" s="15" t="s">
        <v>181</v>
      </c>
      <c r="P8" s="15" t="s">
        <v>43</v>
      </c>
      <c r="Q8" s="15" t="s">
        <v>68</v>
      </c>
      <c r="R8" s="15" t="s">
        <v>182</v>
      </c>
      <c r="S8" s="15" t="s">
        <v>183</v>
      </c>
      <c r="T8" s="15" t="s">
        <v>184</v>
      </c>
      <c r="U8" s="15" t="s">
        <v>185</v>
      </c>
      <c r="V8" s="15" t="s">
        <v>186</v>
      </c>
      <c r="W8" s="15" t="s">
        <v>187</v>
      </c>
      <c r="X8" s="15" t="s">
        <v>188</v>
      </c>
      <c r="Y8" s="15" t="s">
        <v>75</v>
      </c>
      <c r="Z8" s="15" t="s">
        <v>189</v>
      </c>
      <c r="AA8" s="15" t="s">
        <v>190</v>
      </c>
      <c r="AB8" s="15" t="s">
        <v>191</v>
      </c>
      <c r="AC8" s="15" t="s">
        <v>192</v>
      </c>
      <c r="AD8" s="15"/>
      <c r="AE8" s="15"/>
      <c r="AF8" s="15" t="s">
        <v>193</v>
      </c>
      <c r="AG8" s="16" t="s">
        <v>194</v>
      </c>
    </row>
    <row r="9" spans="1:33" ht="210">
      <c r="A9" s="11">
        <v>15</v>
      </c>
      <c r="B9" s="12">
        <v>45734.511805555601</v>
      </c>
      <c r="C9" s="12">
        <v>45734.5692361111</v>
      </c>
      <c r="D9" s="13" t="s">
        <v>33</v>
      </c>
      <c r="E9" s="13"/>
      <c r="F9" s="12"/>
      <c r="G9" s="14">
        <v>24</v>
      </c>
      <c r="H9" s="15" t="s">
        <v>195</v>
      </c>
      <c r="I9" s="15" t="s">
        <v>102</v>
      </c>
      <c r="J9" s="15" t="s">
        <v>196</v>
      </c>
      <c r="K9" s="15" t="s">
        <v>197</v>
      </c>
      <c r="L9" s="15" t="s">
        <v>198</v>
      </c>
      <c r="M9" s="15" t="s">
        <v>199</v>
      </c>
      <c r="N9" s="15" t="s">
        <v>200</v>
      </c>
      <c r="O9" s="15" t="s">
        <v>201</v>
      </c>
      <c r="P9" s="15" t="s">
        <v>202</v>
      </c>
      <c r="Q9" s="15" t="s">
        <v>203</v>
      </c>
      <c r="R9" s="15" t="s">
        <v>204</v>
      </c>
      <c r="S9" s="15" t="s">
        <v>205</v>
      </c>
      <c r="T9" s="15" t="s">
        <v>206</v>
      </c>
      <c r="U9" s="15" t="s">
        <v>207</v>
      </c>
      <c r="V9" s="15" t="s">
        <v>208</v>
      </c>
      <c r="W9" s="15" t="s">
        <v>209</v>
      </c>
      <c r="X9" s="15" t="s">
        <v>210</v>
      </c>
      <c r="Y9" s="15" t="s">
        <v>211</v>
      </c>
      <c r="Z9" s="15" t="s">
        <v>212</v>
      </c>
      <c r="AA9" s="15" t="s">
        <v>213</v>
      </c>
      <c r="AB9" s="15" t="s">
        <v>214</v>
      </c>
      <c r="AC9" s="15" t="s">
        <v>215</v>
      </c>
      <c r="AD9" s="15" t="s">
        <v>216</v>
      </c>
      <c r="AE9" s="15"/>
      <c r="AF9" s="15" t="s">
        <v>217</v>
      </c>
      <c r="AG9" s="16" t="s">
        <v>218</v>
      </c>
    </row>
    <row r="10" spans="1:33" ht="150" hidden="1">
      <c r="A10" s="11">
        <v>10</v>
      </c>
      <c r="B10" s="12">
        <v>45730.431064814802</v>
      </c>
      <c r="C10" s="12">
        <v>45730.476481481499</v>
      </c>
      <c r="D10" s="13" t="s">
        <v>33</v>
      </c>
      <c r="E10" s="13"/>
      <c r="F10" s="12"/>
      <c r="G10" s="14">
        <v>25</v>
      </c>
      <c r="H10" s="15" t="s">
        <v>219</v>
      </c>
      <c r="I10" s="15" t="s">
        <v>85</v>
      </c>
      <c r="J10" s="15" t="s">
        <v>220</v>
      </c>
      <c r="K10" s="15" t="s">
        <v>158</v>
      </c>
      <c r="L10" s="15" t="s">
        <v>221</v>
      </c>
      <c r="M10" s="15" t="s">
        <v>222</v>
      </c>
      <c r="N10" s="15" t="s">
        <v>223</v>
      </c>
      <c r="O10" s="15" t="s">
        <v>224</v>
      </c>
      <c r="P10" s="15" t="s">
        <v>43</v>
      </c>
      <c r="Q10" s="15" t="s">
        <v>43</v>
      </c>
      <c r="R10" s="15" t="s">
        <v>225</v>
      </c>
      <c r="S10" s="15" t="s">
        <v>226</v>
      </c>
      <c r="T10" s="15" t="s">
        <v>227</v>
      </c>
      <c r="U10" s="15" t="s">
        <v>228</v>
      </c>
      <c r="V10" s="15" t="s">
        <v>229</v>
      </c>
      <c r="W10" s="15" t="s">
        <v>230</v>
      </c>
      <c r="X10" s="15" t="s">
        <v>231</v>
      </c>
      <c r="Y10" s="15" t="s">
        <v>232</v>
      </c>
      <c r="Z10" s="15" t="s">
        <v>233</v>
      </c>
      <c r="AA10" s="15" t="s">
        <v>234</v>
      </c>
      <c r="AB10" s="15" t="s">
        <v>235</v>
      </c>
      <c r="AC10" s="15" t="s">
        <v>236</v>
      </c>
      <c r="AD10" s="15" t="s">
        <v>237</v>
      </c>
      <c r="AE10" s="15" t="s">
        <v>238</v>
      </c>
      <c r="AF10" s="15" t="s">
        <v>239</v>
      </c>
      <c r="AG10" s="16" t="s">
        <v>240</v>
      </c>
    </row>
    <row r="11" spans="1:33" ht="105" hidden="1">
      <c r="A11" s="11">
        <v>12</v>
      </c>
      <c r="B11" s="12">
        <v>45730.6415277778</v>
      </c>
      <c r="C11" s="12">
        <v>45730.658171296302</v>
      </c>
      <c r="D11" s="13" t="s">
        <v>33</v>
      </c>
      <c r="E11" s="13"/>
      <c r="F11" s="12"/>
      <c r="G11" s="14">
        <v>25</v>
      </c>
      <c r="H11" s="15" t="s">
        <v>241</v>
      </c>
      <c r="I11" s="15" t="s">
        <v>242</v>
      </c>
      <c r="J11" s="15" t="s">
        <v>243</v>
      </c>
      <c r="K11" s="15" t="s">
        <v>244</v>
      </c>
      <c r="L11" s="15" t="s">
        <v>245</v>
      </c>
      <c r="M11" s="15" t="s">
        <v>246</v>
      </c>
      <c r="N11" s="15" t="s">
        <v>247</v>
      </c>
      <c r="O11" s="15" t="s">
        <v>248</v>
      </c>
      <c r="P11" s="15" t="s">
        <v>43</v>
      </c>
      <c r="Q11" s="15" t="s">
        <v>43</v>
      </c>
      <c r="R11" s="15" t="s">
        <v>249</v>
      </c>
      <c r="S11" s="15" t="s">
        <v>250</v>
      </c>
      <c r="T11" s="15" t="s">
        <v>247</v>
      </c>
      <c r="U11" s="15" t="s">
        <v>251</v>
      </c>
      <c r="V11" s="15" t="s">
        <v>252</v>
      </c>
      <c r="W11" s="15" t="s">
        <v>253</v>
      </c>
      <c r="X11" s="15" t="s">
        <v>254</v>
      </c>
      <c r="Y11" s="15" t="s">
        <v>255</v>
      </c>
      <c r="Z11" s="15" t="s">
        <v>167</v>
      </c>
      <c r="AA11" s="15" t="s">
        <v>256</v>
      </c>
      <c r="AB11" s="15" t="s">
        <v>257</v>
      </c>
      <c r="AC11" s="15" t="s">
        <v>258</v>
      </c>
      <c r="AD11" s="15" t="s">
        <v>259</v>
      </c>
      <c r="AE11" s="15" t="s">
        <v>260</v>
      </c>
      <c r="AF11" s="15" t="s">
        <v>261</v>
      </c>
      <c r="AG11" s="16" t="s">
        <v>262</v>
      </c>
    </row>
    <row r="12" spans="1:33" ht="165" hidden="1">
      <c r="A12" s="11">
        <v>7</v>
      </c>
      <c r="B12" s="12">
        <v>45727.331840277802</v>
      </c>
      <c r="C12" s="12">
        <v>45727.345196759299</v>
      </c>
      <c r="D12" s="13" t="s">
        <v>33</v>
      </c>
      <c r="E12" s="13"/>
      <c r="F12" s="12"/>
      <c r="G12" s="14">
        <v>26</v>
      </c>
      <c r="H12" s="15" t="s">
        <v>263</v>
      </c>
      <c r="I12" s="15" t="s">
        <v>242</v>
      </c>
      <c r="J12" s="15" t="s">
        <v>264</v>
      </c>
      <c r="K12" s="15" t="s">
        <v>265</v>
      </c>
      <c r="L12" s="15" t="s">
        <v>266</v>
      </c>
      <c r="M12" s="15" t="s">
        <v>267</v>
      </c>
      <c r="N12" s="15" t="s">
        <v>268</v>
      </c>
      <c r="O12" s="15" t="s">
        <v>269</v>
      </c>
      <c r="P12" s="15" t="s">
        <v>270</v>
      </c>
      <c r="Q12" s="15" t="s">
        <v>270</v>
      </c>
      <c r="R12" s="15" t="s">
        <v>271</v>
      </c>
      <c r="S12" s="15" t="s">
        <v>272</v>
      </c>
      <c r="T12" s="15"/>
      <c r="U12" s="15"/>
      <c r="V12" s="15" t="s">
        <v>273</v>
      </c>
      <c r="W12" s="15" t="s">
        <v>274</v>
      </c>
      <c r="X12" s="15" t="s">
        <v>275</v>
      </c>
      <c r="Y12" s="15" t="s">
        <v>255</v>
      </c>
      <c r="Z12" s="15" t="s">
        <v>276</v>
      </c>
      <c r="AA12" s="15" t="s">
        <v>277</v>
      </c>
      <c r="AB12" s="15" t="s">
        <v>278</v>
      </c>
      <c r="AC12" s="15" t="s">
        <v>279</v>
      </c>
      <c r="AD12" s="15" t="s">
        <v>280</v>
      </c>
      <c r="AE12" s="15" t="s">
        <v>281</v>
      </c>
      <c r="AF12" s="15" t="s">
        <v>282</v>
      </c>
      <c r="AG12" s="16" t="s">
        <v>283</v>
      </c>
    </row>
    <row r="13" spans="1:33" ht="195" hidden="1">
      <c r="A13" s="11">
        <v>13</v>
      </c>
      <c r="B13" s="12">
        <v>45731.7191550926</v>
      </c>
      <c r="C13" s="12">
        <v>45731.730949074103</v>
      </c>
      <c r="D13" s="13" t="s">
        <v>33</v>
      </c>
      <c r="E13" s="13"/>
      <c r="F13" s="12"/>
      <c r="G13" s="14">
        <v>26</v>
      </c>
      <c r="H13" s="15" t="s">
        <v>284</v>
      </c>
      <c r="I13" s="15" t="s">
        <v>285</v>
      </c>
      <c r="J13" s="15" t="s">
        <v>286</v>
      </c>
      <c r="K13" s="15" t="s">
        <v>287</v>
      </c>
      <c r="L13" s="15" t="s">
        <v>288</v>
      </c>
      <c r="M13" s="15" t="s">
        <v>289</v>
      </c>
      <c r="N13" s="15" t="s">
        <v>290</v>
      </c>
      <c r="O13" s="15" t="s">
        <v>291</v>
      </c>
      <c r="P13" s="15" t="s">
        <v>292</v>
      </c>
      <c r="Q13" s="15" t="s">
        <v>293</v>
      </c>
      <c r="R13" s="15" t="s">
        <v>294</v>
      </c>
      <c r="S13" s="15" t="s">
        <v>295</v>
      </c>
      <c r="T13" s="15"/>
      <c r="U13" s="15"/>
      <c r="V13" s="15" t="s">
        <v>296</v>
      </c>
      <c r="W13" s="15" t="s">
        <v>297</v>
      </c>
      <c r="X13" s="15" t="s">
        <v>298</v>
      </c>
      <c r="Y13" s="15" t="s">
        <v>299</v>
      </c>
      <c r="Z13" s="15" t="s">
        <v>276</v>
      </c>
      <c r="AA13" s="15" t="s">
        <v>300</v>
      </c>
      <c r="AB13" s="15" t="s">
        <v>301</v>
      </c>
      <c r="AC13" s="15" t="s">
        <v>302</v>
      </c>
      <c r="AD13" s="15" t="s">
        <v>303</v>
      </c>
      <c r="AE13" s="15" t="s">
        <v>81</v>
      </c>
      <c r="AF13" s="15" t="s">
        <v>304</v>
      </c>
      <c r="AG13" s="16" t="s">
        <v>305</v>
      </c>
    </row>
    <row r="14" spans="1:33" ht="210" hidden="1">
      <c r="A14" s="17">
        <v>14</v>
      </c>
      <c r="B14" s="18">
        <v>45733.597152777802</v>
      </c>
      <c r="C14" s="18">
        <v>45733.6182638889</v>
      </c>
      <c r="D14" s="19" t="s">
        <v>33</v>
      </c>
      <c r="E14" s="19"/>
      <c r="F14" s="18"/>
      <c r="G14" s="20">
        <v>26</v>
      </c>
      <c r="H14" s="21" t="s">
        <v>306</v>
      </c>
      <c r="I14" s="21" t="s">
        <v>109</v>
      </c>
      <c r="J14" s="21" t="s">
        <v>307</v>
      </c>
      <c r="K14" s="21" t="s">
        <v>308</v>
      </c>
      <c r="L14" s="21" t="s">
        <v>309</v>
      </c>
      <c r="M14" s="21" t="s">
        <v>310</v>
      </c>
      <c r="N14" s="21" t="s">
        <v>311</v>
      </c>
      <c r="O14" s="21" t="s">
        <v>312</v>
      </c>
      <c r="P14" s="21" t="s">
        <v>313</v>
      </c>
      <c r="Q14" s="21" t="s">
        <v>314</v>
      </c>
      <c r="R14" s="21" t="s">
        <v>315</v>
      </c>
      <c r="S14" s="21" t="s">
        <v>316</v>
      </c>
      <c r="T14" s="21" t="s">
        <v>317</v>
      </c>
      <c r="U14" s="21" t="s">
        <v>318</v>
      </c>
      <c r="V14" s="21" t="s">
        <v>319</v>
      </c>
      <c r="W14" s="21" t="s">
        <v>320</v>
      </c>
      <c r="X14" s="21" t="s">
        <v>321</v>
      </c>
      <c r="Y14" s="21" t="s">
        <v>255</v>
      </c>
      <c r="Z14" s="21" t="s">
        <v>322</v>
      </c>
      <c r="AA14" s="21" t="s">
        <v>323</v>
      </c>
      <c r="AB14" s="21" t="s">
        <v>324</v>
      </c>
      <c r="AC14" s="21" t="s">
        <v>325</v>
      </c>
      <c r="AD14" s="21" t="s">
        <v>326</v>
      </c>
      <c r="AE14" s="21" t="s">
        <v>327</v>
      </c>
      <c r="AF14" s="21" t="s">
        <v>328</v>
      </c>
      <c r="AG14" s="22" t="s">
        <v>329</v>
      </c>
    </row>
    <row r="15" spans="1:33" ht="270">
      <c r="G15" s="43">
        <v>26</v>
      </c>
      <c r="H15" s="44" t="s">
        <v>330</v>
      </c>
      <c r="I15" s="44" t="s">
        <v>331</v>
      </c>
      <c r="J15" s="44" t="s">
        <v>332</v>
      </c>
      <c r="K15" s="44" t="s">
        <v>333</v>
      </c>
      <c r="L15" s="44" t="s">
        <v>334</v>
      </c>
      <c r="M15" s="44" t="s">
        <v>335</v>
      </c>
      <c r="N15" s="44" t="s">
        <v>336</v>
      </c>
      <c r="O15" s="44" t="s">
        <v>337</v>
      </c>
      <c r="P15" s="44" t="s">
        <v>338</v>
      </c>
      <c r="Q15" s="44" t="s">
        <v>339</v>
      </c>
      <c r="R15" s="44" t="s">
        <v>340</v>
      </c>
      <c r="S15" s="44" t="s">
        <v>341</v>
      </c>
      <c r="T15" s="44" t="s">
        <v>336</v>
      </c>
      <c r="U15" s="44" t="s">
        <v>342</v>
      </c>
      <c r="V15" s="44" t="s">
        <v>343</v>
      </c>
      <c r="W15" s="44" t="s">
        <v>344</v>
      </c>
      <c r="X15" s="44" t="s">
        <v>345</v>
      </c>
      <c r="Y15" s="44" t="s">
        <v>346</v>
      </c>
      <c r="Z15" s="44" t="s">
        <v>347</v>
      </c>
      <c r="AA15" s="44" t="s">
        <v>348</v>
      </c>
      <c r="AB15" s="44" t="s">
        <v>349</v>
      </c>
      <c r="AC15" s="44" t="s">
        <v>350</v>
      </c>
      <c r="AD15" s="44" t="s">
        <v>351</v>
      </c>
      <c r="AE15" s="44" t="s">
        <v>352</v>
      </c>
      <c r="AF15" s="44" t="s">
        <v>353</v>
      </c>
      <c r="AG15" s="45" t="s">
        <v>354</v>
      </c>
    </row>
    <row r="16" spans="1:33" ht="210">
      <c r="G16" s="43">
        <v>23</v>
      </c>
      <c r="H16" s="44" t="s">
        <v>355</v>
      </c>
      <c r="I16" s="44" t="s">
        <v>356</v>
      </c>
      <c r="J16" s="44" t="s">
        <v>357</v>
      </c>
      <c r="K16" s="44" t="s">
        <v>244</v>
      </c>
      <c r="L16" s="44" t="s">
        <v>358</v>
      </c>
      <c r="M16" s="44" t="s">
        <v>359</v>
      </c>
      <c r="N16" s="44"/>
      <c r="O16" s="44"/>
      <c r="P16" s="44" t="s">
        <v>43</v>
      </c>
      <c r="Q16" s="44" t="s">
        <v>43</v>
      </c>
      <c r="R16" s="44" t="s">
        <v>360</v>
      </c>
      <c r="S16" s="44" t="s">
        <v>361</v>
      </c>
      <c r="T16" s="44"/>
      <c r="U16" s="44"/>
      <c r="V16" s="44" t="s">
        <v>362</v>
      </c>
      <c r="W16" s="44" t="s">
        <v>363</v>
      </c>
      <c r="X16" s="44" t="s">
        <v>364</v>
      </c>
      <c r="Y16" s="44" t="s">
        <v>232</v>
      </c>
      <c r="Z16" s="44" t="s">
        <v>365</v>
      </c>
      <c r="AA16" s="44" t="s">
        <v>348</v>
      </c>
      <c r="AB16" s="44" t="s">
        <v>366</v>
      </c>
      <c r="AC16" s="44" t="s">
        <v>367</v>
      </c>
      <c r="AD16" s="44" t="s">
        <v>368</v>
      </c>
      <c r="AE16" s="44" t="s">
        <v>369</v>
      </c>
      <c r="AF16" s="44" t="s">
        <v>370</v>
      </c>
      <c r="AG16" s="45" t="s">
        <v>371</v>
      </c>
    </row>
  </sheetData>
  <phoneticPr fontId="1"/>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9D6B-12EF-4846-BEC5-C0126C79D8BB}">
  <dimension ref="A1:C8"/>
  <sheetViews>
    <sheetView showGridLines="0" workbookViewId="0"/>
  </sheetViews>
  <sheetFormatPr defaultColWidth="9.109375" defaultRowHeight="13.5"/>
  <cols>
    <col min="1" max="16384" width="9.109375" style="41"/>
  </cols>
  <sheetData>
    <row r="1" spans="1:3">
      <c r="A1" s="42" t="s">
        <v>372</v>
      </c>
    </row>
    <row r="2" spans="1:3">
      <c r="A2" s="131" t="s">
        <v>373</v>
      </c>
      <c r="B2" s="131" t="s">
        <v>374</v>
      </c>
      <c r="C2" s="131" t="s">
        <v>375</v>
      </c>
    </row>
    <row r="3" spans="1:3">
      <c r="A3" s="130" t="s">
        <v>376</v>
      </c>
      <c r="B3" s="26">
        <v>5</v>
      </c>
      <c r="C3" s="26">
        <v>5</v>
      </c>
    </row>
    <row r="4" spans="1:3">
      <c r="A4" s="130" t="s">
        <v>377</v>
      </c>
      <c r="B4" s="26">
        <v>6</v>
      </c>
      <c r="C4" s="26">
        <v>6</v>
      </c>
    </row>
    <row r="5" spans="1:3">
      <c r="A5" s="130" t="s">
        <v>378</v>
      </c>
      <c r="B5" s="26">
        <v>4</v>
      </c>
      <c r="C5" s="26">
        <v>2</v>
      </c>
    </row>
    <row r="6" spans="1:3" ht="14.1" thickBot="1">
      <c r="A6" s="133" t="s">
        <v>379</v>
      </c>
      <c r="B6" s="134">
        <v>4</v>
      </c>
      <c r="C6" s="134">
        <v>4</v>
      </c>
    </row>
    <row r="7" spans="1:3" ht="14.1" thickTop="1">
      <c r="A7" s="132" t="s">
        <v>380</v>
      </c>
      <c r="B7" s="29">
        <f>SUM(B3:B6)</f>
        <v>19</v>
      </c>
      <c r="C7" s="29">
        <f>SUM(C3:C6)</f>
        <v>17</v>
      </c>
    </row>
    <row r="8" spans="1:3">
      <c r="A8" s="41" t="s">
        <v>381</v>
      </c>
      <c r="C8" s="135">
        <f>C7/B7</f>
        <v>0.89473684210526316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D2877-536A-47D2-BF1E-1A42738430FA}">
  <dimension ref="A1:F24"/>
  <sheetViews>
    <sheetView showGridLines="0" zoomScale="85" zoomScaleNormal="85" workbookViewId="0">
      <selection activeCell="B1" sqref="B1"/>
    </sheetView>
  </sheetViews>
  <sheetFormatPr defaultColWidth="9.109375" defaultRowHeight="20.100000000000001" customHeight="1"/>
  <cols>
    <col min="1" max="1" width="30.88671875" style="23" customWidth="1"/>
    <col min="2" max="2" width="12.88671875" style="23" customWidth="1"/>
    <col min="3" max="3" width="56" style="23" customWidth="1"/>
    <col min="4" max="4" width="2.88671875" style="23" customWidth="1"/>
    <col min="5" max="5" width="34.33203125" style="23" customWidth="1"/>
    <col min="6" max="6" width="4.44140625" style="23" customWidth="1"/>
    <col min="7" max="7" width="61.109375" style="23" customWidth="1"/>
    <col min="8" max="16384" width="9.109375" style="23"/>
  </cols>
  <sheetData>
    <row r="1" spans="1:6" s="33" customFormat="1" ht="15.95" customHeight="1">
      <c r="A1" s="33" t="s">
        <v>382</v>
      </c>
    </row>
    <row r="2" spans="1:6" s="33" customFormat="1" ht="20.100000000000001" customHeight="1">
      <c r="A2" s="39" t="s">
        <v>383</v>
      </c>
      <c r="B2" s="39" t="s">
        <v>384</v>
      </c>
      <c r="C2" s="89"/>
    </row>
    <row r="3" spans="1:6" s="31" customFormat="1" ht="20.100000000000001" customHeight="1">
      <c r="A3" s="30" t="s">
        <v>385</v>
      </c>
      <c r="B3" s="26">
        <v>1</v>
      </c>
    </row>
    <row r="4" spans="1:6" ht="20.100000000000001" customHeight="1">
      <c r="A4" s="34" t="s">
        <v>386</v>
      </c>
      <c r="B4" s="35">
        <v>5</v>
      </c>
    </row>
    <row r="5" spans="1:6" ht="20.100000000000001" customHeight="1">
      <c r="A5" s="34" t="s">
        <v>387</v>
      </c>
      <c r="B5" s="35">
        <v>6</v>
      </c>
    </row>
    <row r="6" spans="1:6" ht="20.100000000000001" customHeight="1">
      <c r="A6" s="36" t="s">
        <v>388</v>
      </c>
      <c r="B6" s="40">
        <v>1</v>
      </c>
    </row>
    <row r="7" spans="1:6" ht="20.100000000000001" customHeight="1">
      <c r="A7" s="32" t="s">
        <v>389</v>
      </c>
      <c r="B7" s="27"/>
    </row>
    <row r="8" spans="1:6" ht="20.100000000000001" customHeight="1">
      <c r="A8" s="32" t="s">
        <v>390</v>
      </c>
      <c r="B8" s="38">
        <v>1</v>
      </c>
    </row>
    <row r="9" spans="1:6" ht="20.100000000000001" customHeight="1">
      <c r="A9" s="32" t="s">
        <v>391</v>
      </c>
      <c r="B9" s="26"/>
      <c r="E9" s="80"/>
      <c r="F9" s="37"/>
    </row>
    <row r="10" spans="1:6" ht="20.100000000000001" customHeight="1">
      <c r="A10" s="24" t="s">
        <v>392</v>
      </c>
      <c r="B10" s="26">
        <v>1</v>
      </c>
      <c r="C10" s="23" t="s">
        <v>393</v>
      </c>
      <c r="E10" s="80"/>
      <c r="F10" s="37"/>
    </row>
    <row r="11" spans="1:6" ht="20.100000000000001" customHeight="1">
      <c r="A11" s="24" t="s">
        <v>394</v>
      </c>
      <c r="B11" s="26"/>
      <c r="E11" s="80"/>
      <c r="F11" s="37"/>
    </row>
    <row r="12" spans="1:6" ht="20.100000000000001" customHeight="1">
      <c r="A12" s="83" t="s">
        <v>395</v>
      </c>
      <c r="B12" s="26"/>
      <c r="E12" s="80"/>
      <c r="F12" s="37"/>
    </row>
    <row r="13" spans="1:6" ht="20.100000000000001" customHeight="1">
      <c r="A13" s="82" t="s">
        <v>396</v>
      </c>
      <c r="B13" s="26"/>
      <c r="E13" s="80"/>
      <c r="F13" s="37"/>
    </row>
    <row r="14" spans="1:6" ht="20.100000000000001" customHeight="1">
      <c r="A14" s="24" t="s">
        <v>397</v>
      </c>
      <c r="B14" s="26">
        <v>1</v>
      </c>
      <c r="C14" s="23" t="s">
        <v>398</v>
      </c>
      <c r="E14" s="80"/>
      <c r="F14" s="37"/>
    </row>
    <row r="15" spans="1:6" ht="20.100000000000001" customHeight="1" thickBot="1">
      <c r="A15" s="136" t="s">
        <v>399</v>
      </c>
      <c r="B15" s="134">
        <v>1</v>
      </c>
      <c r="C15" s="23" t="s">
        <v>400</v>
      </c>
      <c r="E15" s="80"/>
      <c r="F15" s="37"/>
    </row>
    <row r="16" spans="1:6" ht="19.5" customHeight="1" thickTop="1">
      <c r="A16" s="28" t="s">
        <v>380</v>
      </c>
      <c r="B16" s="29">
        <f>SUM(B3:B15)</f>
        <v>17</v>
      </c>
      <c r="F16" s="37"/>
    </row>
    <row r="17" spans="1:6" ht="20.100000000000001" customHeight="1">
      <c r="A17" s="25"/>
      <c r="F17" s="37"/>
    </row>
    <row r="18" spans="1:6" ht="20.100000000000001" customHeight="1">
      <c r="A18" s="25"/>
      <c r="F18" s="37"/>
    </row>
    <row r="19" spans="1:6" ht="27">
      <c r="A19" s="39" t="s">
        <v>401</v>
      </c>
      <c r="B19" s="84" t="s">
        <v>402</v>
      </c>
      <c r="C19" s="39" t="s">
        <v>403</v>
      </c>
      <c r="E19" s="81"/>
      <c r="F19" s="37"/>
    </row>
    <row r="20" spans="1:6" ht="54">
      <c r="A20" s="49" t="s">
        <v>404</v>
      </c>
      <c r="B20" s="50">
        <v>8</v>
      </c>
      <c r="C20" s="56" t="s">
        <v>405</v>
      </c>
      <c r="E20" s="81"/>
      <c r="F20" s="37"/>
    </row>
    <row r="21" spans="1:6" ht="94.5">
      <c r="A21" s="49" t="s">
        <v>406</v>
      </c>
      <c r="B21" s="50">
        <v>5</v>
      </c>
      <c r="C21" s="56" t="s">
        <v>407</v>
      </c>
      <c r="F21" s="37"/>
    </row>
    <row r="22" spans="1:6" ht="27">
      <c r="A22" s="102" t="s">
        <v>408</v>
      </c>
      <c r="B22" s="101">
        <v>3</v>
      </c>
      <c r="C22" s="103" t="s">
        <v>409</v>
      </c>
    </row>
    <row r="23" spans="1:6" ht="67.5">
      <c r="A23" s="100" t="s">
        <v>410</v>
      </c>
      <c r="B23" s="101">
        <v>4</v>
      </c>
      <c r="C23" s="86" t="s">
        <v>411</v>
      </c>
    </row>
    <row r="24" spans="1:6" ht="40.5">
      <c r="A24" s="100" t="s">
        <v>412</v>
      </c>
      <c r="B24" s="101">
        <v>2</v>
      </c>
      <c r="C24" s="86" t="s">
        <v>413</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6C50-5436-4033-A977-F229C10B6089}">
  <dimension ref="A1:D113"/>
  <sheetViews>
    <sheetView showGridLines="0" zoomScale="85" zoomScaleNormal="85" workbookViewId="0">
      <selection activeCell="C42" sqref="C42"/>
    </sheetView>
  </sheetViews>
  <sheetFormatPr defaultColWidth="9.109375" defaultRowHeight="13.5"/>
  <cols>
    <col min="1" max="1" width="32.88671875" style="41" bestFit="1" customWidth="1"/>
    <col min="2" max="2" width="13.109375" style="41" customWidth="1"/>
    <col min="3" max="3" width="46.77734375" style="41" customWidth="1"/>
    <col min="4" max="4" width="49.77734375" style="41" customWidth="1"/>
    <col min="5" max="16384" width="9.109375" style="41"/>
  </cols>
  <sheetData>
    <row r="1" spans="1:4" ht="15.95" customHeight="1">
      <c r="A1" s="42" t="s">
        <v>414</v>
      </c>
    </row>
    <row r="2" spans="1:4" ht="27">
      <c r="A2" s="39" t="s">
        <v>415</v>
      </c>
      <c r="B2" s="85" t="s">
        <v>402</v>
      </c>
      <c r="C2" s="39" t="s">
        <v>416</v>
      </c>
    </row>
    <row r="3" spans="1:4" s="48" customFormat="1" ht="175.5">
      <c r="A3" s="55" t="s">
        <v>417</v>
      </c>
      <c r="B3" s="50">
        <v>11</v>
      </c>
      <c r="C3" s="56" t="s">
        <v>418</v>
      </c>
    </row>
    <row r="4" spans="1:4" s="48" customFormat="1" ht="40.5">
      <c r="A4" s="49" t="s">
        <v>419</v>
      </c>
      <c r="B4" s="50">
        <v>4</v>
      </c>
      <c r="C4" s="56" t="s">
        <v>420</v>
      </c>
    </row>
    <row r="5" spans="1:4" s="48" customFormat="1" ht="20.100000000000001" customHeight="1">
      <c r="A5" s="49" t="s">
        <v>421</v>
      </c>
      <c r="B5" s="50">
        <v>3</v>
      </c>
      <c r="C5" s="98" t="s">
        <v>422</v>
      </c>
    </row>
    <row r="6" spans="1:4" s="48" customFormat="1" ht="42.95" customHeight="1">
      <c r="A6" s="100" t="s">
        <v>423</v>
      </c>
      <c r="B6" s="101">
        <v>2</v>
      </c>
      <c r="C6" s="86" t="s">
        <v>424</v>
      </c>
    </row>
    <row r="7" spans="1:4" s="48" customFormat="1" ht="20.100000000000001" customHeight="1">
      <c r="A7" s="100" t="s">
        <v>425</v>
      </c>
      <c r="B7" s="101">
        <v>1</v>
      </c>
      <c r="C7" s="100" t="s">
        <v>426</v>
      </c>
    </row>
    <row r="8" spans="1:4" s="48" customFormat="1" ht="20.100000000000001" customHeight="1">
      <c r="A8" s="100" t="s">
        <v>427</v>
      </c>
      <c r="B8" s="101">
        <v>1</v>
      </c>
      <c r="C8" s="100" t="s">
        <v>428</v>
      </c>
    </row>
    <row r="9" spans="1:4" s="48" customFormat="1" ht="20.100000000000001" customHeight="1">
      <c r="A9" s="100" t="s">
        <v>429</v>
      </c>
      <c r="B9" s="101">
        <v>1</v>
      </c>
      <c r="C9" s="100" t="s">
        <v>430</v>
      </c>
    </row>
    <row r="10" spans="1:4" ht="26.45" customHeight="1"/>
    <row r="11" spans="1:4">
      <c r="A11" s="42" t="s">
        <v>431</v>
      </c>
    </row>
    <row r="12" spans="1:4" s="48" customFormat="1" ht="27">
      <c r="A12" s="39" t="s">
        <v>432</v>
      </c>
      <c r="B12" s="85" t="s">
        <v>402</v>
      </c>
      <c r="C12" s="39" t="s">
        <v>433</v>
      </c>
      <c r="D12" s="39" t="s">
        <v>434</v>
      </c>
    </row>
    <row r="13" spans="1:4" s="48" customFormat="1">
      <c r="A13" s="141" t="s">
        <v>435</v>
      </c>
      <c r="B13" s="143">
        <v>12</v>
      </c>
      <c r="C13" s="67" t="s">
        <v>436</v>
      </c>
      <c r="D13" s="68" t="s">
        <v>437</v>
      </c>
    </row>
    <row r="14" spans="1:4" s="48" customFormat="1">
      <c r="A14" s="149"/>
      <c r="B14" s="150"/>
      <c r="C14" s="69" t="s">
        <v>438</v>
      </c>
      <c r="D14" s="70" t="s">
        <v>439</v>
      </c>
    </row>
    <row r="15" spans="1:4" s="48" customFormat="1">
      <c r="A15" s="149"/>
      <c r="B15" s="150"/>
      <c r="C15" s="71" t="s">
        <v>440</v>
      </c>
      <c r="D15" s="71" t="s">
        <v>441</v>
      </c>
    </row>
    <row r="16" spans="1:4" s="48" customFormat="1">
      <c r="A16" s="149"/>
      <c r="B16" s="150"/>
      <c r="C16" s="71" t="s">
        <v>442</v>
      </c>
      <c r="D16" s="71" t="s">
        <v>441</v>
      </c>
    </row>
    <row r="17" spans="1:4" s="48" customFormat="1">
      <c r="A17" s="149"/>
      <c r="B17" s="150"/>
      <c r="C17" s="72" t="s">
        <v>443</v>
      </c>
      <c r="D17" s="72" t="s">
        <v>444</v>
      </c>
    </row>
    <row r="18" spans="1:4" s="48" customFormat="1">
      <c r="A18" s="142"/>
      <c r="B18" s="144"/>
      <c r="C18" s="73" t="s">
        <v>445</v>
      </c>
      <c r="D18" s="73" t="s">
        <v>441</v>
      </c>
    </row>
    <row r="19" spans="1:4" s="48" customFormat="1">
      <c r="A19" s="141" t="s">
        <v>446</v>
      </c>
      <c r="B19" s="143">
        <v>9</v>
      </c>
      <c r="C19" s="74" t="s">
        <v>447</v>
      </c>
      <c r="D19" s="68" t="s">
        <v>448</v>
      </c>
    </row>
    <row r="20" spans="1:4" s="48" customFormat="1">
      <c r="A20" s="149"/>
      <c r="B20" s="150"/>
      <c r="C20" s="72" t="s">
        <v>449</v>
      </c>
      <c r="D20" s="70" t="s">
        <v>450</v>
      </c>
    </row>
    <row r="21" spans="1:4" s="48" customFormat="1">
      <c r="A21" s="142"/>
      <c r="B21" s="144"/>
      <c r="C21" s="73" t="s">
        <v>451</v>
      </c>
      <c r="D21" s="73" t="s">
        <v>450</v>
      </c>
    </row>
    <row r="22" spans="1:4" s="48" customFormat="1" ht="15" customHeight="1">
      <c r="A22" s="151" t="s">
        <v>452</v>
      </c>
      <c r="B22" s="143">
        <v>6</v>
      </c>
      <c r="C22" s="75" t="s">
        <v>453</v>
      </c>
      <c r="D22" s="76" t="s">
        <v>454</v>
      </c>
    </row>
    <row r="23" spans="1:4" s="48" customFormat="1" ht="15" customHeight="1">
      <c r="A23" s="152"/>
      <c r="B23" s="150"/>
      <c r="C23" s="77" t="s">
        <v>455</v>
      </c>
      <c r="D23" s="68" t="s">
        <v>456</v>
      </c>
    </row>
    <row r="24" spans="1:4" s="48" customFormat="1" ht="15" customHeight="1">
      <c r="A24" s="152"/>
      <c r="B24" s="150"/>
      <c r="C24" s="69" t="s">
        <v>457</v>
      </c>
      <c r="D24" s="70" t="s">
        <v>458</v>
      </c>
    </row>
    <row r="25" spans="1:4" s="48" customFormat="1" ht="15" customHeight="1">
      <c r="A25" s="152"/>
      <c r="B25" s="150"/>
      <c r="C25" s="70" t="s">
        <v>459</v>
      </c>
      <c r="D25" s="71" t="s">
        <v>441</v>
      </c>
    </row>
    <row r="26" spans="1:4" s="48" customFormat="1" ht="15" customHeight="1">
      <c r="A26" s="153"/>
      <c r="B26" s="144"/>
      <c r="C26" s="73" t="s">
        <v>460</v>
      </c>
      <c r="D26" s="71" t="s">
        <v>441</v>
      </c>
    </row>
    <row r="27" spans="1:4" s="48" customFormat="1">
      <c r="A27" s="141" t="s">
        <v>461</v>
      </c>
      <c r="B27" s="143">
        <v>6</v>
      </c>
      <c r="C27" s="74" t="s">
        <v>462</v>
      </c>
      <c r="D27" s="75" t="s">
        <v>463</v>
      </c>
    </row>
    <row r="28" spans="1:4" s="48" customFormat="1">
      <c r="A28" s="149"/>
      <c r="B28" s="150"/>
      <c r="C28" s="72" t="s">
        <v>464</v>
      </c>
      <c r="D28" s="71" t="s">
        <v>465</v>
      </c>
    </row>
    <row r="29" spans="1:4" s="48" customFormat="1">
      <c r="A29" s="142"/>
      <c r="B29" s="144"/>
      <c r="C29" s="73" t="s">
        <v>466</v>
      </c>
      <c r="D29" s="78" t="s">
        <v>467</v>
      </c>
    </row>
    <row r="30" spans="1:4" s="48" customFormat="1">
      <c r="A30" s="141" t="s">
        <v>468</v>
      </c>
      <c r="B30" s="143">
        <v>5</v>
      </c>
      <c r="C30" s="67" t="s">
        <v>469</v>
      </c>
      <c r="D30" s="75" t="s">
        <v>470</v>
      </c>
    </row>
    <row r="31" spans="1:4" s="48" customFormat="1">
      <c r="A31" s="142"/>
      <c r="B31" s="144"/>
      <c r="C31" s="73" t="s">
        <v>471</v>
      </c>
      <c r="D31" s="78" t="s">
        <v>472</v>
      </c>
    </row>
    <row r="32" spans="1:4" s="48" customFormat="1" ht="54">
      <c r="A32" s="49" t="s">
        <v>473</v>
      </c>
      <c r="B32" s="50">
        <v>4</v>
      </c>
      <c r="C32" s="76" t="s">
        <v>474</v>
      </c>
      <c r="D32" s="76" t="s">
        <v>472</v>
      </c>
    </row>
    <row r="33" spans="1:4" s="48" customFormat="1">
      <c r="A33" s="61" t="s">
        <v>475</v>
      </c>
      <c r="B33" s="62">
        <v>3</v>
      </c>
      <c r="C33" s="79" t="s">
        <v>476</v>
      </c>
      <c r="D33" s="64" t="s">
        <v>477</v>
      </c>
    </row>
    <row r="34" spans="1:4" s="48" customFormat="1" ht="27">
      <c r="A34" s="46" t="s">
        <v>478</v>
      </c>
      <c r="B34" s="47">
        <v>2</v>
      </c>
      <c r="C34" s="59" t="s">
        <v>479</v>
      </c>
      <c r="D34" s="60" t="s">
        <v>480</v>
      </c>
    </row>
    <row r="35" spans="1:4" s="48" customFormat="1">
      <c r="A35" s="145" t="s">
        <v>481</v>
      </c>
      <c r="B35" s="147">
        <v>2</v>
      </c>
      <c r="C35" s="65" t="s">
        <v>482</v>
      </c>
      <c r="D35" s="63"/>
    </row>
    <row r="36" spans="1:4" s="48" customFormat="1">
      <c r="A36" s="146"/>
      <c r="B36" s="148"/>
      <c r="C36" s="64" t="s">
        <v>483</v>
      </c>
      <c r="D36" s="66"/>
    </row>
    <row r="37" spans="1:4" s="48" customFormat="1">
      <c r="A37" s="59" t="s">
        <v>484</v>
      </c>
      <c r="B37" s="47">
        <v>1</v>
      </c>
      <c r="C37" s="59" t="s">
        <v>485</v>
      </c>
      <c r="D37" s="59" t="s">
        <v>465</v>
      </c>
    </row>
    <row r="38" spans="1:4" s="48" customFormat="1">
      <c r="A38" s="60" t="s">
        <v>486</v>
      </c>
      <c r="B38" s="47">
        <v>0</v>
      </c>
      <c r="C38" s="59"/>
      <c r="D38" s="59"/>
    </row>
    <row r="39" spans="1:4" s="48" customFormat="1">
      <c r="A39" s="60" t="s">
        <v>487</v>
      </c>
      <c r="B39" s="47">
        <v>0</v>
      </c>
      <c r="C39" s="59"/>
      <c r="D39" s="59"/>
    </row>
    <row r="40" spans="1:4" s="48" customFormat="1">
      <c r="A40" s="59" t="s">
        <v>488</v>
      </c>
      <c r="B40" s="47">
        <v>0</v>
      </c>
      <c r="C40" s="59"/>
      <c r="D40" s="59"/>
    </row>
    <row r="41" spans="1:4" s="48" customFormat="1"/>
    <row r="42" spans="1:4" s="48" customFormat="1"/>
    <row r="43" spans="1:4" s="48" customFormat="1"/>
    <row r="44" spans="1:4" s="48" customFormat="1"/>
    <row r="45" spans="1:4" s="48" customFormat="1"/>
    <row r="46" spans="1:4" s="48" customFormat="1"/>
    <row r="47" spans="1:4" s="48" customFormat="1"/>
    <row r="48" spans="1:4" s="48" customFormat="1"/>
    <row r="49" s="48" customFormat="1"/>
    <row r="50" s="48" customFormat="1"/>
    <row r="51" s="48" customFormat="1"/>
    <row r="52" s="48" customFormat="1"/>
    <row r="53" s="48" customFormat="1"/>
    <row r="54" s="48" customFormat="1"/>
    <row r="55" s="48" customFormat="1"/>
    <row r="56" s="48" customFormat="1"/>
    <row r="57" s="48" customFormat="1"/>
    <row r="58" s="48" customFormat="1"/>
    <row r="59" s="48" customFormat="1"/>
    <row r="60" s="48" customFormat="1"/>
    <row r="61" s="48" customFormat="1"/>
    <row r="62" s="48" customFormat="1"/>
    <row r="63" s="48" customFormat="1"/>
    <row r="64" s="48" customFormat="1"/>
    <row r="65" s="48" customFormat="1"/>
    <row r="66" s="48" customFormat="1"/>
    <row r="67" s="48" customFormat="1"/>
    <row r="68" s="48" customFormat="1"/>
    <row r="69" s="48" customFormat="1"/>
    <row r="70" s="48" customFormat="1"/>
    <row r="71" s="48" customFormat="1"/>
    <row r="72" s="48" customFormat="1"/>
    <row r="73" s="48" customFormat="1"/>
    <row r="74" s="48" customFormat="1"/>
    <row r="75" s="48" customFormat="1"/>
    <row r="76" s="48" customFormat="1"/>
    <row r="77" s="48" customFormat="1"/>
    <row r="78" s="48" customFormat="1"/>
    <row r="79" s="48" customFormat="1"/>
    <row r="80" s="48" customFormat="1"/>
    <row r="81" s="48" customFormat="1"/>
    <row r="82" s="48" customFormat="1"/>
    <row r="83" s="48" customFormat="1"/>
    <row r="84" s="48" customFormat="1"/>
    <row r="85" s="48" customFormat="1"/>
    <row r="86" s="48" customFormat="1"/>
    <row r="87" s="48" customFormat="1"/>
    <row r="88" s="48" customFormat="1"/>
    <row r="89" s="48" customFormat="1"/>
    <row r="90" s="48" customFormat="1"/>
    <row r="91" s="48" customFormat="1"/>
    <row r="92" s="48" customFormat="1"/>
    <row r="93" s="48" customFormat="1"/>
    <row r="94" s="48" customFormat="1"/>
    <row r="95" s="48" customFormat="1"/>
    <row r="96" s="48" customFormat="1"/>
    <row r="97" s="48" customFormat="1"/>
    <row r="98" s="48" customFormat="1"/>
    <row r="99" s="48" customFormat="1"/>
    <row r="100" s="48" customFormat="1"/>
    <row r="101" s="48" customFormat="1"/>
    <row r="102" s="48" customFormat="1"/>
    <row r="103" s="48" customFormat="1"/>
    <row r="104" s="48" customFormat="1"/>
    <row r="105" s="48" customFormat="1"/>
    <row r="106" s="48" customFormat="1"/>
    <row r="107" s="48" customFormat="1"/>
    <row r="108" s="48" customFormat="1"/>
    <row r="109" s="48" customFormat="1"/>
    <row r="110" s="48" customFormat="1"/>
    <row r="111" s="48" customFormat="1"/>
    <row r="112" s="48" customFormat="1"/>
    <row r="113" s="48" customFormat="1"/>
  </sheetData>
  <mergeCells count="12">
    <mergeCell ref="A30:A31"/>
    <mergeCell ref="B30:B31"/>
    <mergeCell ref="A35:A36"/>
    <mergeCell ref="B35:B36"/>
    <mergeCell ref="A13:A18"/>
    <mergeCell ref="B13:B18"/>
    <mergeCell ref="A22:A26"/>
    <mergeCell ref="B22:B26"/>
    <mergeCell ref="A27:A29"/>
    <mergeCell ref="B27:B29"/>
    <mergeCell ref="A19:A21"/>
    <mergeCell ref="B19:B21"/>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8E57-EE3B-40F0-8625-2E2D07CB108C}">
  <dimension ref="A1:D24"/>
  <sheetViews>
    <sheetView showGridLines="0" topLeftCell="A3" zoomScale="85" zoomScaleNormal="85" workbookViewId="0"/>
  </sheetViews>
  <sheetFormatPr defaultColWidth="9.109375" defaultRowHeight="13.5"/>
  <cols>
    <col min="1" max="1" width="21.44140625" style="41" bestFit="1" customWidth="1"/>
    <col min="2" max="2" width="16.44140625" style="41" customWidth="1"/>
    <col min="3" max="3" width="63.44140625" style="41" customWidth="1"/>
    <col min="4" max="4" width="26.88671875" style="41" customWidth="1"/>
    <col min="5" max="5" width="25.77734375" style="41" customWidth="1"/>
    <col min="6" max="6" width="35" style="41" customWidth="1"/>
    <col min="7" max="16384" width="9.109375" style="41"/>
  </cols>
  <sheetData>
    <row r="1" spans="1:4">
      <c r="A1" s="42" t="s">
        <v>489</v>
      </c>
    </row>
    <row r="2" spans="1:4" ht="27">
      <c r="A2" s="39" t="s">
        <v>415</v>
      </c>
      <c r="B2" s="85" t="s">
        <v>402</v>
      </c>
      <c r="C2" s="39" t="s">
        <v>490</v>
      </c>
      <c r="D2" s="85" t="s">
        <v>491</v>
      </c>
    </row>
    <row r="3" spans="1:4" ht="175.5">
      <c r="A3" s="55" t="s">
        <v>417</v>
      </c>
      <c r="B3" s="50">
        <v>14</v>
      </c>
      <c r="C3" s="56" t="s">
        <v>492</v>
      </c>
      <c r="D3" s="56" t="s">
        <v>493</v>
      </c>
    </row>
    <row r="4" spans="1:4" ht="54">
      <c r="A4" s="49" t="s">
        <v>494</v>
      </c>
      <c r="B4" s="50">
        <v>5</v>
      </c>
      <c r="C4" s="56" t="s">
        <v>495</v>
      </c>
      <c r="D4" s="56" t="s">
        <v>496</v>
      </c>
    </row>
    <row r="5" spans="1:4" ht="67.5">
      <c r="A5" s="51" t="s">
        <v>421</v>
      </c>
      <c r="B5" s="52">
        <v>5</v>
      </c>
      <c r="C5" s="99" t="s">
        <v>497</v>
      </c>
      <c r="D5" s="99" t="s">
        <v>498</v>
      </c>
    </row>
    <row r="6" spans="1:4" ht="54">
      <c r="A6" s="51" t="s">
        <v>419</v>
      </c>
      <c r="B6" s="52">
        <v>5</v>
      </c>
      <c r="C6" s="99" t="s">
        <v>499</v>
      </c>
      <c r="D6" s="99" t="s">
        <v>500</v>
      </c>
    </row>
    <row r="7" spans="1:4" ht="67.5">
      <c r="A7" s="53" t="s">
        <v>501</v>
      </c>
      <c r="B7" s="54">
        <v>4</v>
      </c>
      <c r="C7" s="57" t="s">
        <v>502</v>
      </c>
      <c r="D7" s="57" t="s">
        <v>503</v>
      </c>
    </row>
    <row r="8" spans="1:4" ht="54">
      <c r="A8" s="53" t="s">
        <v>504</v>
      </c>
      <c r="B8" s="54">
        <v>3</v>
      </c>
      <c r="C8" s="57" t="s">
        <v>505</v>
      </c>
      <c r="D8" s="57" t="s">
        <v>506</v>
      </c>
    </row>
    <row r="9" spans="1:4" ht="40.5">
      <c r="A9" s="100" t="s">
        <v>507</v>
      </c>
      <c r="B9" s="101">
        <v>2</v>
      </c>
      <c r="C9" s="86" t="s">
        <v>508</v>
      </c>
      <c r="D9" s="100"/>
    </row>
    <row r="10" spans="1:4" ht="22.5" customHeight="1"/>
    <row r="11" spans="1:4">
      <c r="A11" s="42" t="s">
        <v>509</v>
      </c>
    </row>
    <row r="12" spans="1:4" ht="27">
      <c r="A12" s="39" t="s">
        <v>510</v>
      </c>
      <c r="B12" s="85" t="s">
        <v>511</v>
      </c>
      <c r="C12" s="39" t="s">
        <v>433</v>
      </c>
    </row>
    <row r="13" spans="1:4" ht="20.100000000000001" customHeight="1">
      <c r="A13" s="55" t="s">
        <v>512</v>
      </c>
      <c r="B13" s="50">
        <v>10</v>
      </c>
      <c r="C13" s="55" t="s">
        <v>513</v>
      </c>
    </row>
    <row r="14" spans="1:4" ht="20.100000000000001" customHeight="1">
      <c r="A14" s="49" t="s">
        <v>435</v>
      </c>
      <c r="B14" s="50">
        <v>9</v>
      </c>
      <c r="C14" s="98" t="s">
        <v>514</v>
      </c>
    </row>
    <row r="15" spans="1:4" ht="20.100000000000001" customHeight="1">
      <c r="A15" s="55" t="s">
        <v>452</v>
      </c>
      <c r="B15" s="50">
        <v>8</v>
      </c>
      <c r="C15" s="55" t="s">
        <v>515</v>
      </c>
    </row>
    <row r="16" spans="1:4" ht="20.100000000000001" customHeight="1">
      <c r="A16" s="55" t="s">
        <v>516</v>
      </c>
      <c r="B16" s="50">
        <v>7</v>
      </c>
      <c r="C16" s="56" t="s">
        <v>517</v>
      </c>
    </row>
    <row r="17" spans="1:3" ht="20.100000000000001" customHeight="1">
      <c r="A17" s="49" t="s">
        <v>518</v>
      </c>
      <c r="B17" s="50">
        <v>6</v>
      </c>
      <c r="C17" s="98" t="s">
        <v>519</v>
      </c>
    </row>
    <row r="18" spans="1:3" ht="20.100000000000001" customHeight="1">
      <c r="A18" s="49" t="s">
        <v>446</v>
      </c>
      <c r="B18" s="50">
        <v>5</v>
      </c>
      <c r="C18" s="98" t="s">
        <v>520</v>
      </c>
    </row>
    <row r="19" spans="1:3" ht="20.100000000000001" customHeight="1">
      <c r="A19" s="49" t="s">
        <v>521</v>
      </c>
      <c r="B19" s="50">
        <v>4</v>
      </c>
      <c r="C19" s="98" t="s">
        <v>522</v>
      </c>
    </row>
    <row r="20" spans="1:3" ht="20.100000000000001" customHeight="1">
      <c r="A20" s="49" t="s">
        <v>523</v>
      </c>
      <c r="B20" s="50">
        <v>4</v>
      </c>
      <c r="C20" s="49" t="s">
        <v>524</v>
      </c>
    </row>
    <row r="21" spans="1:3" ht="20.100000000000001" customHeight="1">
      <c r="A21" s="49" t="s">
        <v>475</v>
      </c>
      <c r="B21" s="50">
        <v>4</v>
      </c>
      <c r="C21" s="98" t="s">
        <v>525</v>
      </c>
    </row>
    <row r="22" spans="1:3" s="87" customFormat="1" ht="20.100000000000001" customHeight="1">
      <c r="A22" s="94" t="s">
        <v>526</v>
      </c>
      <c r="B22" s="47">
        <v>3</v>
      </c>
      <c r="C22" s="94" t="s">
        <v>527</v>
      </c>
    </row>
    <row r="23" spans="1:3" s="87" customFormat="1" ht="20.100000000000001" customHeight="1">
      <c r="A23" s="94" t="s">
        <v>486</v>
      </c>
      <c r="B23" s="47">
        <v>3</v>
      </c>
      <c r="C23" s="94" t="s">
        <v>528</v>
      </c>
    </row>
    <row r="24" spans="1:3" s="87" customFormat="1" ht="20.100000000000001" customHeight="1">
      <c r="A24" s="94" t="s">
        <v>484</v>
      </c>
      <c r="B24" s="47">
        <v>1</v>
      </c>
      <c r="C24" s="94" t="s">
        <v>529</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38B8-80A4-4B27-A7DA-2E28C81CD492}">
  <dimension ref="A1:I30"/>
  <sheetViews>
    <sheetView showGridLines="0" zoomScale="85" zoomScaleNormal="85" workbookViewId="0">
      <selection activeCell="E13" sqref="E13"/>
    </sheetView>
  </sheetViews>
  <sheetFormatPr defaultRowHeight="15"/>
  <cols>
    <col min="1" max="1" width="4.6640625" customWidth="1"/>
    <col min="2" max="2" width="19.44140625" customWidth="1"/>
    <col min="3" max="3" width="13.6640625" customWidth="1"/>
    <col min="4" max="4" width="12.88671875" customWidth="1"/>
    <col min="5" max="5" width="44.44140625" customWidth="1"/>
    <col min="6" max="6" width="5.109375" customWidth="1"/>
    <col min="7" max="7" width="4.6640625" customWidth="1"/>
    <col min="8" max="8" width="31.5546875" customWidth="1"/>
    <col min="9" max="9" width="15.77734375" customWidth="1"/>
  </cols>
  <sheetData>
    <row r="1" spans="1:4" s="88" customFormat="1">
      <c r="A1" s="88" t="s">
        <v>530</v>
      </c>
    </row>
    <row r="2" spans="1:4" ht="27">
      <c r="A2" s="39" t="s">
        <v>531</v>
      </c>
      <c r="B2" s="39" t="s">
        <v>532</v>
      </c>
      <c r="C2" s="39" t="s">
        <v>533</v>
      </c>
      <c r="D2" s="85" t="s">
        <v>402</v>
      </c>
    </row>
    <row r="3" spans="1:4">
      <c r="A3" s="56">
        <v>1</v>
      </c>
      <c r="B3" s="55" t="s">
        <v>534</v>
      </c>
      <c r="C3" s="49" t="s">
        <v>535</v>
      </c>
      <c r="D3" s="50">
        <v>9</v>
      </c>
    </row>
    <row r="4" spans="1:4">
      <c r="A4" s="98">
        <v>2</v>
      </c>
      <c r="B4" s="49" t="s">
        <v>536</v>
      </c>
      <c r="C4" s="49" t="s">
        <v>535</v>
      </c>
      <c r="D4" s="50">
        <v>8</v>
      </c>
    </row>
    <row r="5" spans="1:4">
      <c r="A5" s="56">
        <v>3</v>
      </c>
      <c r="B5" s="55" t="s">
        <v>537</v>
      </c>
      <c r="C5" s="49" t="s">
        <v>535</v>
      </c>
      <c r="D5" s="50">
        <v>7</v>
      </c>
    </row>
    <row r="6" spans="1:4">
      <c r="A6" s="98">
        <v>4</v>
      </c>
      <c r="B6" s="49" t="s">
        <v>538</v>
      </c>
      <c r="C6" s="49" t="s">
        <v>535</v>
      </c>
      <c r="D6" s="50">
        <v>6</v>
      </c>
    </row>
    <row r="7" spans="1:4">
      <c r="A7" s="56">
        <v>5</v>
      </c>
      <c r="B7" s="55" t="s">
        <v>539</v>
      </c>
      <c r="C7" s="55" t="s">
        <v>540</v>
      </c>
      <c r="D7" s="50">
        <v>5</v>
      </c>
    </row>
    <row r="8" spans="1:4">
      <c r="A8" s="98">
        <v>6</v>
      </c>
      <c r="B8" s="49" t="s">
        <v>541</v>
      </c>
      <c r="C8" s="55" t="s">
        <v>540</v>
      </c>
      <c r="D8" s="50">
        <v>4</v>
      </c>
    </row>
    <row r="9" spans="1:4">
      <c r="A9" s="56">
        <v>7</v>
      </c>
      <c r="B9" s="55" t="s">
        <v>542</v>
      </c>
      <c r="C9" s="49" t="s">
        <v>535</v>
      </c>
      <c r="D9" s="50">
        <v>5</v>
      </c>
    </row>
    <row r="10" spans="1:4">
      <c r="A10" s="98">
        <v>8</v>
      </c>
      <c r="B10" s="49" t="s">
        <v>543</v>
      </c>
      <c r="C10" s="49" t="s">
        <v>535</v>
      </c>
      <c r="D10" s="50">
        <v>4</v>
      </c>
    </row>
    <row r="11" spans="1:4" s="92" customFormat="1">
      <c r="A11" s="93">
        <v>9</v>
      </c>
      <c r="B11" s="93" t="s">
        <v>544</v>
      </c>
      <c r="C11" s="93" t="s">
        <v>540</v>
      </c>
      <c r="D11" s="47">
        <v>3</v>
      </c>
    </row>
    <row r="12" spans="1:4" s="92" customFormat="1">
      <c r="A12" s="93">
        <v>11</v>
      </c>
      <c r="B12" s="93" t="s">
        <v>545</v>
      </c>
      <c r="C12" s="93" t="s">
        <v>540</v>
      </c>
      <c r="D12" s="47">
        <v>3</v>
      </c>
    </row>
    <row r="13" spans="1:4" s="92" customFormat="1">
      <c r="A13" s="94">
        <v>12</v>
      </c>
      <c r="B13" s="94" t="s">
        <v>546</v>
      </c>
      <c r="C13" s="93" t="s">
        <v>540</v>
      </c>
      <c r="D13" s="47">
        <v>2</v>
      </c>
    </row>
    <row r="14" spans="1:4">
      <c r="A14" s="93">
        <v>13</v>
      </c>
      <c r="B14" s="93" t="s">
        <v>547</v>
      </c>
      <c r="C14" s="93" t="s">
        <v>501</v>
      </c>
      <c r="D14" s="47">
        <v>2</v>
      </c>
    </row>
    <row r="15" spans="1:4">
      <c r="A15" s="94">
        <v>14</v>
      </c>
      <c r="B15" s="94" t="s">
        <v>548</v>
      </c>
      <c r="C15" s="94" t="s">
        <v>549</v>
      </c>
      <c r="D15" s="47">
        <v>3</v>
      </c>
    </row>
    <row r="16" spans="1:4">
      <c r="A16" s="93">
        <v>15</v>
      </c>
      <c r="B16" s="93" t="s">
        <v>550</v>
      </c>
      <c r="C16" s="94" t="s">
        <v>549</v>
      </c>
      <c r="D16" s="47">
        <v>3</v>
      </c>
    </row>
    <row r="17" spans="1:9">
      <c r="A17" s="94">
        <v>16</v>
      </c>
      <c r="B17" s="94" t="s">
        <v>551</v>
      </c>
      <c r="C17" s="94" t="s">
        <v>421</v>
      </c>
      <c r="D17" s="47">
        <v>2</v>
      </c>
    </row>
    <row r="18" spans="1:9">
      <c r="A18" s="93">
        <v>17</v>
      </c>
      <c r="B18" s="93" t="s">
        <v>552</v>
      </c>
      <c r="C18" s="93" t="s">
        <v>425</v>
      </c>
      <c r="D18" s="47">
        <v>2</v>
      </c>
    </row>
    <row r="19" spans="1:9" ht="27">
      <c r="A19" s="93">
        <v>18</v>
      </c>
      <c r="B19" s="93" t="s">
        <v>553</v>
      </c>
      <c r="C19" s="93" t="s">
        <v>554</v>
      </c>
      <c r="D19" s="47">
        <v>2</v>
      </c>
    </row>
    <row r="20" spans="1:9" ht="9.6" customHeight="1"/>
    <row r="21" spans="1:9">
      <c r="A21" s="88" t="s">
        <v>555</v>
      </c>
      <c r="G21" s="88" t="s">
        <v>556</v>
      </c>
    </row>
    <row r="22" spans="1:9" ht="27">
      <c r="A22" s="39" t="s">
        <v>531</v>
      </c>
      <c r="B22" s="95" t="s">
        <v>557</v>
      </c>
      <c r="C22" s="154" t="s">
        <v>558</v>
      </c>
      <c r="D22" s="154"/>
      <c r="E22" s="154"/>
      <c r="G22" s="39" t="s">
        <v>531</v>
      </c>
      <c r="H22" s="39" t="s">
        <v>415</v>
      </c>
      <c r="I22" s="85" t="s">
        <v>402</v>
      </c>
    </row>
    <row r="23" spans="1:9" ht="116.45" customHeight="1">
      <c r="A23" s="93">
        <v>1</v>
      </c>
      <c r="B23" s="96" t="s">
        <v>535</v>
      </c>
      <c r="C23" s="155" t="s">
        <v>559</v>
      </c>
      <c r="D23" s="155"/>
      <c r="E23" s="155"/>
      <c r="G23" s="56">
        <v>1</v>
      </c>
      <c r="H23" s="55" t="s">
        <v>560</v>
      </c>
      <c r="I23" s="50">
        <v>13</v>
      </c>
    </row>
    <row r="24" spans="1:9" ht="62.45" customHeight="1">
      <c r="A24" s="94">
        <v>2</v>
      </c>
      <c r="B24" s="97" t="s">
        <v>540</v>
      </c>
      <c r="C24" s="155" t="s">
        <v>561</v>
      </c>
      <c r="D24" s="155"/>
      <c r="E24" s="155"/>
      <c r="G24" s="98">
        <v>2</v>
      </c>
      <c r="H24" s="49" t="s">
        <v>562</v>
      </c>
      <c r="I24" s="50">
        <v>10</v>
      </c>
    </row>
    <row r="25" spans="1:9" ht="46.5" customHeight="1">
      <c r="A25" s="93">
        <v>3</v>
      </c>
      <c r="B25" s="96" t="s">
        <v>501</v>
      </c>
      <c r="C25" s="155" t="s">
        <v>563</v>
      </c>
      <c r="D25" s="155"/>
      <c r="E25" s="155"/>
      <c r="G25" s="56">
        <v>3</v>
      </c>
      <c r="H25" s="49" t="s">
        <v>564</v>
      </c>
      <c r="I25" s="50">
        <v>7</v>
      </c>
    </row>
    <row r="26" spans="1:9" ht="47.1" customHeight="1">
      <c r="A26" s="94">
        <v>4</v>
      </c>
      <c r="B26" s="97" t="s">
        <v>549</v>
      </c>
      <c r="C26" s="155" t="s">
        <v>565</v>
      </c>
      <c r="D26" s="155"/>
      <c r="E26" s="155"/>
      <c r="G26" s="93">
        <v>4</v>
      </c>
      <c r="H26" s="94" t="s">
        <v>566</v>
      </c>
      <c r="I26" s="47">
        <v>2</v>
      </c>
    </row>
    <row r="27" spans="1:9" ht="36.6" customHeight="1">
      <c r="A27" s="93">
        <v>5</v>
      </c>
      <c r="B27" s="96" t="s">
        <v>421</v>
      </c>
      <c r="C27" s="155" t="s">
        <v>567</v>
      </c>
      <c r="D27" s="155"/>
      <c r="E27" s="155"/>
      <c r="G27" s="93">
        <v>5</v>
      </c>
      <c r="H27" s="94" t="s">
        <v>568</v>
      </c>
      <c r="I27" s="47">
        <v>1</v>
      </c>
    </row>
    <row r="28" spans="1:9" ht="15" customHeight="1">
      <c r="A28" s="93">
        <v>6</v>
      </c>
      <c r="B28" s="97" t="s">
        <v>425</v>
      </c>
      <c r="C28" s="155" t="s">
        <v>569</v>
      </c>
      <c r="D28" s="155"/>
      <c r="E28" s="155"/>
      <c r="G28" s="93">
        <v>6</v>
      </c>
      <c r="H28" s="94" t="s">
        <v>570</v>
      </c>
      <c r="I28" s="47">
        <v>1</v>
      </c>
    </row>
    <row r="29" spans="1:9">
      <c r="A29" s="93">
        <v>7</v>
      </c>
      <c r="B29" s="96" t="s">
        <v>554</v>
      </c>
      <c r="C29" s="155" t="s">
        <v>571</v>
      </c>
      <c r="D29" s="155"/>
      <c r="E29" s="155"/>
      <c r="G29" s="93">
        <v>7</v>
      </c>
      <c r="H29" s="94" t="s">
        <v>572</v>
      </c>
      <c r="I29" s="47">
        <v>1</v>
      </c>
    </row>
    <row r="30" spans="1:9">
      <c r="A30" s="93">
        <v>8</v>
      </c>
      <c r="B30" s="96" t="s">
        <v>429</v>
      </c>
      <c r="C30" s="155" t="s">
        <v>573</v>
      </c>
      <c r="D30" s="155"/>
      <c r="E30" s="155"/>
    </row>
  </sheetData>
  <mergeCells count="9">
    <mergeCell ref="C22:E22"/>
    <mergeCell ref="C23:E23"/>
    <mergeCell ref="C24:E24"/>
    <mergeCell ref="C25:E25"/>
    <mergeCell ref="C30:E30"/>
    <mergeCell ref="C26:E26"/>
    <mergeCell ref="C27:E27"/>
    <mergeCell ref="C28:E28"/>
    <mergeCell ref="C29:E29"/>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9A22-1479-4597-AD0E-B975FFEE55E2}">
  <dimension ref="A1:E48"/>
  <sheetViews>
    <sheetView showGridLines="0" topLeftCell="A27" zoomScale="85" zoomScaleNormal="85" workbookViewId="0">
      <selection activeCell="A47" sqref="A47"/>
    </sheetView>
  </sheetViews>
  <sheetFormatPr defaultColWidth="9.109375" defaultRowHeight="13.5"/>
  <cols>
    <col min="1" max="1" width="22.77734375" style="111" customWidth="1"/>
    <col min="2" max="2" width="16.6640625" style="111" customWidth="1"/>
    <col min="3" max="3" width="3.77734375" style="111" customWidth="1"/>
    <col min="4" max="4" width="27.44140625" style="111" customWidth="1"/>
    <col min="5" max="5" width="19.109375" style="111" customWidth="1"/>
    <col min="6" max="16384" width="9.109375" style="111"/>
  </cols>
  <sheetData>
    <row r="1" spans="1:5">
      <c r="A1" s="42" t="s">
        <v>574</v>
      </c>
      <c r="D1" s="33" t="s">
        <v>575</v>
      </c>
      <c r="E1" s="33"/>
    </row>
    <row r="2" spans="1:5" ht="15.6" customHeight="1">
      <c r="A2" s="39" t="s">
        <v>576</v>
      </c>
      <c r="B2" s="39" t="s">
        <v>384</v>
      </c>
      <c r="D2" s="39" t="s">
        <v>383</v>
      </c>
      <c r="E2" s="39" t="s">
        <v>384</v>
      </c>
    </row>
    <row r="3" spans="1:5" ht="15.6" customHeight="1">
      <c r="A3" s="36" t="s">
        <v>385</v>
      </c>
      <c r="B3" s="38"/>
      <c r="D3" s="36" t="s">
        <v>385</v>
      </c>
      <c r="E3" s="38">
        <v>1</v>
      </c>
    </row>
    <row r="4" spans="1:5" ht="15.6" customHeight="1">
      <c r="A4" s="32" t="s">
        <v>386</v>
      </c>
      <c r="B4" s="38">
        <v>1</v>
      </c>
      <c r="D4" s="34" t="s">
        <v>386</v>
      </c>
      <c r="E4" s="35">
        <v>5</v>
      </c>
    </row>
    <row r="5" spans="1:5" ht="15.6" customHeight="1">
      <c r="A5" s="32" t="s">
        <v>387</v>
      </c>
      <c r="B5" s="38"/>
      <c r="D5" s="34" t="s">
        <v>387</v>
      </c>
      <c r="E5" s="35">
        <v>6</v>
      </c>
    </row>
    <row r="6" spans="1:5" ht="15.6" customHeight="1">
      <c r="A6" s="34" t="s">
        <v>388</v>
      </c>
      <c r="B6" s="35">
        <v>4</v>
      </c>
      <c r="D6" s="36" t="s">
        <v>388</v>
      </c>
      <c r="E6" s="40">
        <v>1</v>
      </c>
    </row>
    <row r="7" spans="1:5" ht="15.6" customHeight="1">
      <c r="A7" s="34" t="s">
        <v>389</v>
      </c>
      <c r="B7" s="35">
        <v>4</v>
      </c>
      <c r="D7" s="32" t="s">
        <v>389</v>
      </c>
      <c r="E7" s="27"/>
    </row>
    <row r="8" spans="1:5" ht="15.6" customHeight="1">
      <c r="A8" s="34" t="s">
        <v>390</v>
      </c>
      <c r="B8" s="35">
        <v>4</v>
      </c>
      <c r="D8" s="32" t="s">
        <v>390</v>
      </c>
      <c r="E8" s="38">
        <v>1</v>
      </c>
    </row>
    <row r="9" spans="1:5" ht="15.6" customHeight="1">
      <c r="A9" s="32" t="s">
        <v>391</v>
      </c>
      <c r="B9" s="38">
        <v>2</v>
      </c>
      <c r="D9" s="32" t="s">
        <v>391</v>
      </c>
      <c r="E9" s="38"/>
    </row>
    <row r="10" spans="1:5" ht="15.6" customHeight="1">
      <c r="A10" s="32" t="s">
        <v>392</v>
      </c>
      <c r="B10" s="38"/>
      <c r="D10" s="32" t="s">
        <v>392</v>
      </c>
      <c r="E10" s="38">
        <v>1</v>
      </c>
    </row>
    <row r="11" spans="1:5" ht="15.6" customHeight="1">
      <c r="A11" s="32" t="s">
        <v>394</v>
      </c>
      <c r="B11" s="38"/>
      <c r="D11" s="32" t="s">
        <v>394</v>
      </c>
      <c r="E11" s="38"/>
    </row>
    <row r="12" spans="1:5" ht="15.6" customHeight="1">
      <c r="A12" s="32" t="s">
        <v>395</v>
      </c>
      <c r="B12" s="38"/>
      <c r="D12" s="112" t="s">
        <v>395</v>
      </c>
      <c r="E12" s="38"/>
    </row>
    <row r="13" spans="1:5" ht="15.6" customHeight="1">
      <c r="A13" s="32" t="s">
        <v>396</v>
      </c>
      <c r="B13" s="38"/>
      <c r="D13" s="113" t="s">
        <v>396</v>
      </c>
      <c r="E13" s="38"/>
    </row>
    <row r="14" spans="1:5" ht="15.6" customHeight="1">
      <c r="A14" s="32" t="s">
        <v>397</v>
      </c>
      <c r="B14" s="38"/>
      <c r="D14" s="32" t="s">
        <v>397</v>
      </c>
      <c r="E14" s="38">
        <v>1</v>
      </c>
    </row>
    <row r="15" spans="1:5" ht="15.6" customHeight="1" thickBot="1">
      <c r="A15" s="32" t="s">
        <v>399</v>
      </c>
      <c r="B15" s="38"/>
      <c r="D15" s="114" t="s">
        <v>399</v>
      </c>
      <c r="E15" s="104">
        <v>1</v>
      </c>
    </row>
    <row r="16" spans="1:5" ht="15.6" customHeight="1" thickTop="1">
      <c r="A16" s="32" t="s">
        <v>577</v>
      </c>
      <c r="B16" s="38">
        <v>1</v>
      </c>
      <c r="D16" s="138" t="s">
        <v>380</v>
      </c>
      <c r="E16" s="139">
        <f>SUM(E2:E15)</f>
        <v>17</v>
      </c>
    </row>
    <row r="17" spans="1:5" ht="15.6" customHeight="1" thickBot="1">
      <c r="A17" s="114" t="s">
        <v>578</v>
      </c>
      <c r="B17" s="104">
        <v>1</v>
      </c>
      <c r="D17" s="25"/>
      <c r="E17" s="137"/>
    </row>
    <row r="18" spans="1:5" ht="15.6" customHeight="1" thickTop="1">
      <c r="A18" s="28" t="s">
        <v>380</v>
      </c>
      <c r="B18" s="105">
        <f>SUM(B3:B17)</f>
        <v>17</v>
      </c>
    </row>
    <row r="20" spans="1:5">
      <c r="A20" s="33" t="s">
        <v>579</v>
      </c>
    </row>
    <row r="21" spans="1:5" s="115" customFormat="1" ht="27">
      <c r="A21" s="110" t="s">
        <v>432</v>
      </c>
      <c r="B21" s="84" t="s">
        <v>402</v>
      </c>
      <c r="C21" s="157" t="s">
        <v>580</v>
      </c>
      <c r="D21" s="157"/>
      <c r="E21" s="157"/>
    </row>
    <row r="22" spans="1:5" ht="115.5" customHeight="1">
      <c r="A22" s="55" t="s">
        <v>560</v>
      </c>
      <c r="B22" s="50">
        <v>8</v>
      </c>
      <c r="C22" s="158" t="s">
        <v>581</v>
      </c>
      <c r="D22" s="158"/>
      <c r="E22" s="158"/>
    </row>
    <row r="23" spans="1:5" ht="45.6" customHeight="1">
      <c r="A23" s="49" t="s">
        <v>582</v>
      </c>
      <c r="B23" s="50">
        <v>3</v>
      </c>
      <c r="C23" s="158" t="s">
        <v>583</v>
      </c>
      <c r="D23" s="158"/>
      <c r="E23" s="158"/>
    </row>
    <row r="24" spans="1:5" ht="15" customHeight="1">
      <c r="A24" s="94" t="s">
        <v>562</v>
      </c>
      <c r="B24" s="47">
        <v>1</v>
      </c>
      <c r="C24" s="156"/>
      <c r="D24" s="156"/>
      <c r="E24" s="156"/>
    </row>
    <row r="25" spans="1:5" ht="33.950000000000003" customHeight="1">
      <c r="A25" s="94" t="s">
        <v>566</v>
      </c>
      <c r="B25" s="47">
        <v>1</v>
      </c>
      <c r="C25" s="155" t="s">
        <v>584</v>
      </c>
      <c r="D25" s="155"/>
      <c r="E25" s="155"/>
    </row>
    <row r="26" spans="1:5" ht="15" customHeight="1">
      <c r="A26" s="94" t="s">
        <v>585</v>
      </c>
      <c r="B26" s="47">
        <v>1</v>
      </c>
      <c r="C26" s="156"/>
      <c r="D26" s="156"/>
      <c r="E26" s="156"/>
    </row>
    <row r="27" spans="1:5" ht="34.5" customHeight="1" thickBot="1">
      <c r="A27" s="108" t="s">
        <v>586</v>
      </c>
      <c r="B27" s="109">
        <v>1</v>
      </c>
      <c r="C27" s="159" t="s">
        <v>587</v>
      </c>
      <c r="D27" s="159"/>
      <c r="E27" s="159"/>
    </row>
    <row r="28" spans="1:5" ht="15.6" customHeight="1" thickTop="1">
      <c r="A28" s="106" t="s">
        <v>380</v>
      </c>
      <c r="B28" s="107">
        <f>SUM(B22:B27)</f>
        <v>15</v>
      </c>
      <c r="C28" s="160"/>
      <c r="D28" s="160"/>
      <c r="E28" s="160"/>
    </row>
    <row r="30" spans="1:5">
      <c r="A30" s="33" t="s">
        <v>588</v>
      </c>
    </row>
    <row r="31" spans="1:5" ht="27">
      <c r="A31" s="110" t="s">
        <v>401</v>
      </c>
      <c r="B31" s="84" t="s">
        <v>402</v>
      </c>
      <c r="C31" s="157" t="s">
        <v>589</v>
      </c>
      <c r="D31" s="157"/>
      <c r="E31" s="157"/>
    </row>
    <row r="32" spans="1:5" ht="119.45" customHeight="1">
      <c r="A32" s="55" t="s">
        <v>590</v>
      </c>
      <c r="B32" s="50">
        <v>7</v>
      </c>
      <c r="C32" s="158" t="s">
        <v>591</v>
      </c>
      <c r="D32" s="158"/>
      <c r="E32" s="158"/>
    </row>
    <row r="33" spans="1:5" ht="78.599999999999994" customHeight="1">
      <c r="A33" s="49" t="s">
        <v>592</v>
      </c>
      <c r="B33" s="50">
        <v>4</v>
      </c>
      <c r="C33" s="158" t="s">
        <v>593</v>
      </c>
      <c r="D33" s="158"/>
      <c r="E33" s="158"/>
    </row>
    <row r="34" spans="1:5" ht="62.1" customHeight="1">
      <c r="A34" s="91" t="s">
        <v>594</v>
      </c>
      <c r="B34" s="58">
        <v>3</v>
      </c>
      <c r="C34" s="155" t="s">
        <v>595</v>
      </c>
      <c r="D34" s="155"/>
      <c r="E34" s="155"/>
    </row>
    <row r="35" spans="1:5" ht="50.1" customHeight="1">
      <c r="A35" s="91" t="s">
        <v>596</v>
      </c>
      <c r="B35" s="58">
        <v>3</v>
      </c>
      <c r="C35" s="155" t="s">
        <v>597</v>
      </c>
      <c r="D35" s="155"/>
      <c r="E35" s="155"/>
    </row>
    <row r="36" spans="1:5" ht="48.95" customHeight="1" thickBot="1">
      <c r="A36" s="116" t="s">
        <v>598</v>
      </c>
      <c r="B36" s="117">
        <v>2</v>
      </c>
      <c r="C36" s="159" t="s">
        <v>599</v>
      </c>
      <c r="D36" s="159"/>
      <c r="E36" s="159"/>
    </row>
    <row r="37" spans="1:5" ht="22.5" customHeight="1" thickTop="1">
      <c r="A37" s="106" t="s">
        <v>380</v>
      </c>
      <c r="B37" s="107">
        <f>SUM(B32:B36)</f>
        <v>19</v>
      </c>
      <c r="C37" s="160"/>
      <c r="D37" s="160"/>
      <c r="E37" s="160"/>
    </row>
    <row r="39" spans="1:5">
      <c r="A39" s="33" t="s">
        <v>600</v>
      </c>
    </row>
    <row r="40" spans="1:5" ht="27">
      <c r="A40" s="110" t="s">
        <v>601</v>
      </c>
      <c r="B40" s="84" t="s">
        <v>402</v>
      </c>
      <c r="C40" s="157" t="s">
        <v>602</v>
      </c>
      <c r="D40" s="157"/>
      <c r="E40" s="157"/>
    </row>
    <row r="41" spans="1:5" ht="109.15" customHeight="1">
      <c r="A41" s="55" t="s">
        <v>603</v>
      </c>
      <c r="B41" s="50">
        <v>8</v>
      </c>
      <c r="C41" s="158" t="s">
        <v>604</v>
      </c>
      <c r="D41" s="158"/>
      <c r="E41" s="158"/>
    </row>
    <row r="42" spans="1:5" ht="110.45" customHeight="1">
      <c r="A42" s="49" t="s">
        <v>605</v>
      </c>
      <c r="B42" s="50">
        <v>5</v>
      </c>
      <c r="C42" s="158" t="s">
        <v>606</v>
      </c>
      <c r="D42" s="158"/>
      <c r="E42" s="158"/>
    </row>
    <row r="43" spans="1:5" ht="75.95" customHeight="1">
      <c r="A43" s="49" t="s">
        <v>607</v>
      </c>
      <c r="B43" s="50">
        <v>4</v>
      </c>
      <c r="C43" s="158" t="s">
        <v>608</v>
      </c>
      <c r="D43" s="158"/>
      <c r="E43" s="158"/>
    </row>
    <row r="44" spans="1:5" ht="55.5" customHeight="1">
      <c r="A44" s="90" t="s">
        <v>598</v>
      </c>
      <c r="B44" s="58">
        <v>3</v>
      </c>
      <c r="C44" s="155" t="s">
        <v>609</v>
      </c>
      <c r="D44" s="155"/>
      <c r="E44" s="155"/>
    </row>
    <row r="45" spans="1:5" ht="48" customHeight="1">
      <c r="A45" s="91" t="s">
        <v>610</v>
      </c>
      <c r="B45" s="58">
        <v>2</v>
      </c>
      <c r="C45" s="155" t="s">
        <v>611</v>
      </c>
      <c r="D45" s="155"/>
      <c r="E45" s="155"/>
    </row>
    <row r="46" spans="1:5" ht="68.45" customHeight="1">
      <c r="A46" s="91" t="s">
        <v>612</v>
      </c>
      <c r="B46" s="58">
        <v>2</v>
      </c>
      <c r="C46" s="155" t="s">
        <v>613</v>
      </c>
      <c r="D46" s="155"/>
      <c r="E46" s="155"/>
    </row>
    <row r="47" spans="1:5" ht="48" customHeight="1">
      <c r="A47" s="91" t="s">
        <v>614</v>
      </c>
      <c r="B47" s="58">
        <v>1</v>
      </c>
      <c r="C47" s="155" t="s">
        <v>615</v>
      </c>
      <c r="D47" s="155"/>
      <c r="E47" s="155"/>
    </row>
    <row r="48" spans="1:5">
      <c r="A48" s="106" t="s">
        <v>380</v>
      </c>
      <c r="B48" s="107">
        <f>SUM(B41:B47)</f>
        <v>25</v>
      </c>
      <c r="C48" s="160"/>
      <c r="D48" s="160"/>
      <c r="E48" s="160"/>
    </row>
  </sheetData>
  <mergeCells count="24">
    <mergeCell ref="C48:E48"/>
    <mergeCell ref="C47:E47"/>
    <mergeCell ref="C44:E44"/>
    <mergeCell ref="C46:E46"/>
    <mergeCell ref="C40:E40"/>
    <mergeCell ref="C41:E41"/>
    <mergeCell ref="C42:E42"/>
    <mergeCell ref="C43:E43"/>
    <mergeCell ref="C45:E45"/>
    <mergeCell ref="C35:E35"/>
    <mergeCell ref="C36:E36"/>
    <mergeCell ref="C37:E37"/>
    <mergeCell ref="C27:E27"/>
    <mergeCell ref="C28:E28"/>
    <mergeCell ref="C31:E31"/>
    <mergeCell ref="C32:E32"/>
    <mergeCell ref="C33:E33"/>
    <mergeCell ref="C34:E34"/>
    <mergeCell ref="C26:E26"/>
    <mergeCell ref="C21:E21"/>
    <mergeCell ref="C22:E22"/>
    <mergeCell ref="C23:E23"/>
    <mergeCell ref="C24:E24"/>
    <mergeCell ref="C25:E25"/>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EA33B-6CC4-4A70-8F08-E60750D29581}">
  <dimension ref="A1:E54"/>
  <sheetViews>
    <sheetView showGridLines="0" topLeftCell="A18" zoomScale="85" zoomScaleNormal="85" workbookViewId="0">
      <selection activeCell="A46" sqref="A46"/>
    </sheetView>
  </sheetViews>
  <sheetFormatPr defaultColWidth="9.109375" defaultRowHeight="13.5"/>
  <cols>
    <col min="1" max="1" width="26.33203125" style="111" customWidth="1"/>
    <col min="2" max="2" width="16.6640625" style="111" customWidth="1"/>
    <col min="3" max="3" width="3.77734375" style="111" customWidth="1"/>
    <col min="4" max="4" width="27.44140625" style="111" customWidth="1"/>
    <col min="5" max="5" width="33.5546875" style="111" customWidth="1"/>
    <col min="6" max="16384" width="9.109375" style="111"/>
  </cols>
  <sheetData>
    <row r="1" spans="1:5">
      <c r="A1" s="33" t="s">
        <v>616</v>
      </c>
    </row>
    <row r="2" spans="1:5" s="115" customFormat="1" ht="27">
      <c r="A2" s="110" t="s">
        <v>432</v>
      </c>
      <c r="B2" s="84" t="s">
        <v>402</v>
      </c>
      <c r="C2" s="157" t="s">
        <v>617</v>
      </c>
      <c r="D2" s="157"/>
      <c r="E2" s="157"/>
    </row>
    <row r="3" spans="1:5">
      <c r="A3" s="55" t="s">
        <v>560</v>
      </c>
      <c r="B3" s="50">
        <v>13</v>
      </c>
      <c r="C3" s="158" t="s">
        <v>618</v>
      </c>
      <c r="D3" s="158"/>
      <c r="E3" s="158"/>
    </row>
    <row r="4" spans="1:5">
      <c r="A4" s="49" t="s">
        <v>562</v>
      </c>
      <c r="B4" s="50">
        <v>11</v>
      </c>
      <c r="C4" s="158"/>
      <c r="D4" s="158"/>
      <c r="E4" s="158"/>
    </row>
    <row r="5" spans="1:5" ht="15" customHeight="1">
      <c r="A5" s="49" t="s">
        <v>566</v>
      </c>
      <c r="B5" s="50">
        <v>6</v>
      </c>
      <c r="C5" s="158"/>
      <c r="D5" s="158"/>
      <c r="E5" s="158"/>
    </row>
    <row r="6" spans="1:5">
      <c r="A6" s="49" t="s">
        <v>619</v>
      </c>
      <c r="B6" s="50">
        <v>5</v>
      </c>
      <c r="C6" s="158"/>
      <c r="D6" s="158"/>
      <c r="E6" s="158"/>
    </row>
    <row r="7" spans="1:5" ht="15" customHeight="1">
      <c r="A7" s="127" t="s">
        <v>570</v>
      </c>
      <c r="B7" s="107">
        <v>5</v>
      </c>
      <c r="C7" s="162" t="s">
        <v>620</v>
      </c>
      <c r="D7" s="163"/>
      <c r="E7" s="164"/>
    </row>
    <row r="8" spans="1:5" ht="15" customHeight="1">
      <c r="A8" s="127" t="s">
        <v>621</v>
      </c>
      <c r="B8" s="107">
        <v>5</v>
      </c>
      <c r="C8" s="162" t="s">
        <v>620</v>
      </c>
      <c r="D8" s="163"/>
      <c r="E8" s="164"/>
    </row>
    <row r="9" spans="1:5" ht="15" customHeight="1">
      <c r="A9" s="127" t="s">
        <v>622</v>
      </c>
      <c r="B9" s="47">
        <v>4</v>
      </c>
      <c r="C9" s="155"/>
      <c r="D9" s="155"/>
      <c r="E9" s="155"/>
    </row>
    <row r="10" spans="1:5" ht="15" customHeight="1">
      <c r="A10" s="121" t="s">
        <v>586</v>
      </c>
      <c r="B10" s="47">
        <v>3</v>
      </c>
      <c r="C10" s="155"/>
      <c r="D10" s="155"/>
      <c r="E10" s="155"/>
    </row>
    <row r="11" spans="1:5" ht="15" customHeight="1">
      <c r="A11" s="122" t="s">
        <v>568</v>
      </c>
      <c r="B11" s="120">
        <v>2</v>
      </c>
      <c r="C11" s="155"/>
      <c r="D11" s="155"/>
      <c r="E11" s="155"/>
    </row>
    <row r="12" spans="1:5" ht="15">
      <c r="A12" s="122" t="s">
        <v>623</v>
      </c>
      <c r="B12" s="120">
        <v>1</v>
      </c>
      <c r="C12" s="155"/>
      <c r="D12" s="155"/>
      <c r="E12" s="155"/>
    </row>
    <row r="13" spans="1:5" ht="15" customHeight="1">
      <c r="A13" s="122" t="s">
        <v>624</v>
      </c>
      <c r="B13" s="120">
        <v>1</v>
      </c>
      <c r="C13" s="155"/>
      <c r="D13" s="155"/>
      <c r="E13" s="155"/>
    </row>
    <row r="14" spans="1:5" ht="15" customHeight="1">
      <c r="A14" s="122" t="s">
        <v>572</v>
      </c>
      <c r="B14" s="120">
        <v>2</v>
      </c>
      <c r="C14" s="155"/>
      <c r="D14" s="155"/>
      <c r="E14" s="155"/>
    </row>
    <row r="15" spans="1:5" ht="15" customHeight="1">
      <c r="A15" s="122" t="s">
        <v>625</v>
      </c>
      <c r="B15" s="120">
        <v>1</v>
      </c>
      <c r="C15" s="155" t="s">
        <v>626</v>
      </c>
      <c r="D15" s="155"/>
      <c r="E15" s="155"/>
    </row>
    <row r="16" spans="1:5" ht="15" customHeight="1">
      <c r="A16" s="122" t="s">
        <v>627</v>
      </c>
      <c r="B16" s="120">
        <v>1</v>
      </c>
      <c r="C16" s="155"/>
      <c r="D16" s="155"/>
      <c r="E16" s="155"/>
    </row>
    <row r="17" spans="1:5" ht="15" customHeight="1">
      <c r="A17" s="122" t="s">
        <v>628</v>
      </c>
      <c r="B17" s="120">
        <v>2</v>
      </c>
      <c r="C17" s="155"/>
      <c r="D17" s="155"/>
      <c r="E17" s="155"/>
    </row>
    <row r="18" spans="1:5" ht="15" customHeight="1">
      <c r="A18" s="126" t="s">
        <v>629</v>
      </c>
      <c r="B18" s="47">
        <v>1</v>
      </c>
      <c r="C18" s="155"/>
      <c r="D18" s="155"/>
      <c r="E18" s="155"/>
    </row>
    <row r="19" spans="1:5" ht="15" customHeight="1" thickBot="1">
      <c r="A19" s="124" t="s">
        <v>630</v>
      </c>
      <c r="B19" s="125"/>
      <c r="C19" s="165" t="s">
        <v>631</v>
      </c>
      <c r="D19" s="165"/>
      <c r="E19" s="165"/>
    </row>
    <row r="20" spans="1:5" ht="15.6" customHeight="1" thickTop="1">
      <c r="A20" s="106" t="s">
        <v>380</v>
      </c>
      <c r="B20" s="107">
        <f>SUM(B3:B19)</f>
        <v>63</v>
      </c>
      <c r="C20" s="167"/>
      <c r="D20" s="167"/>
      <c r="E20" s="167"/>
    </row>
    <row r="22" spans="1:5">
      <c r="A22" s="42" t="s">
        <v>632</v>
      </c>
    </row>
    <row r="23" spans="1:5">
      <c r="A23" s="166" t="s">
        <v>617</v>
      </c>
      <c r="B23" s="166"/>
      <c r="C23" s="166"/>
      <c r="D23" s="166"/>
      <c r="E23" s="166"/>
    </row>
    <row r="24" spans="1:5" s="128" customFormat="1" ht="20.100000000000001" customHeight="1">
      <c r="A24" s="161" t="s">
        <v>633</v>
      </c>
      <c r="B24" s="161"/>
      <c r="C24" s="161"/>
      <c r="D24" s="161"/>
      <c r="E24" s="161"/>
    </row>
    <row r="25" spans="1:5" s="128" customFormat="1" ht="20.100000000000001" customHeight="1">
      <c r="A25" s="161" t="s">
        <v>634</v>
      </c>
      <c r="B25" s="161"/>
      <c r="C25" s="161"/>
      <c r="D25" s="161"/>
      <c r="E25" s="161"/>
    </row>
    <row r="26" spans="1:5" s="128" customFormat="1" ht="20.100000000000001" customHeight="1">
      <c r="A26" s="161" t="s">
        <v>635</v>
      </c>
      <c r="B26" s="161"/>
      <c r="C26" s="161"/>
      <c r="D26" s="161"/>
      <c r="E26" s="161"/>
    </row>
    <row r="27" spans="1:5" s="128" customFormat="1" ht="30" customHeight="1">
      <c r="A27" s="161" t="s">
        <v>636</v>
      </c>
      <c r="B27" s="161"/>
      <c r="C27" s="161"/>
      <c r="D27" s="161"/>
      <c r="E27" s="161"/>
    </row>
    <row r="28" spans="1:5" s="128" customFormat="1" ht="20.100000000000001" customHeight="1">
      <c r="A28" s="161" t="s">
        <v>637</v>
      </c>
      <c r="B28" s="161"/>
      <c r="C28" s="161"/>
      <c r="D28" s="161"/>
      <c r="E28" s="161"/>
    </row>
    <row r="29" spans="1:5" s="128" customFormat="1" ht="20.100000000000001" customHeight="1">
      <c r="A29" s="161" t="s">
        <v>638</v>
      </c>
      <c r="B29" s="161"/>
      <c r="C29" s="161"/>
      <c r="D29" s="161"/>
      <c r="E29" s="161"/>
    </row>
    <row r="30" spans="1:5" s="128" customFormat="1" ht="58.5" customHeight="1">
      <c r="A30" s="161" t="s">
        <v>639</v>
      </c>
      <c r="B30" s="161"/>
      <c r="C30" s="161"/>
      <c r="D30" s="161"/>
      <c r="E30" s="161"/>
    </row>
    <row r="32" spans="1:5">
      <c r="A32" s="42" t="s">
        <v>640</v>
      </c>
    </row>
    <row r="33" spans="1:2" ht="27">
      <c r="A33" s="110" t="s">
        <v>641</v>
      </c>
      <c r="B33" s="84" t="s">
        <v>402</v>
      </c>
    </row>
    <row r="34" spans="1:2">
      <c r="A34" s="129" t="s">
        <v>642</v>
      </c>
      <c r="B34" s="50">
        <v>12</v>
      </c>
    </row>
    <row r="35" spans="1:2">
      <c r="A35" s="55" t="s">
        <v>643</v>
      </c>
      <c r="B35" s="50">
        <v>10</v>
      </c>
    </row>
    <row r="36" spans="1:2">
      <c r="A36" s="49" t="s">
        <v>644</v>
      </c>
      <c r="B36" s="50">
        <v>9</v>
      </c>
    </row>
    <row r="37" spans="1:2">
      <c r="A37" s="49" t="s">
        <v>645</v>
      </c>
      <c r="B37" s="50">
        <v>8</v>
      </c>
    </row>
    <row r="38" spans="1:2" ht="15">
      <c r="A38" s="123" t="s">
        <v>646</v>
      </c>
      <c r="B38" s="50">
        <v>7</v>
      </c>
    </row>
    <row r="39" spans="1:2" ht="15">
      <c r="A39" s="123" t="s">
        <v>647</v>
      </c>
      <c r="B39" s="50">
        <v>6</v>
      </c>
    </row>
    <row r="40" spans="1:2" ht="15">
      <c r="A40" s="123" t="s">
        <v>648</v>
      </c>
      <c r="B40" s="50">
        <v>6</v>
      </c>
    </row>
    <row r="41" spans="1:2" ht="15">
      <c r="A41" s="123" t="s">
        <v>649</v>
      </c>
      <c r="B41" s="50">
        <v>5</v>
      </c>
    </row>
    <row r="42" spans="1:2" ht="15">
      <c r="A42" s="121" t="s">
        <v>650</v>
      </c>
      <c r="B42" s="47">
        <v>4</v>
      </c>
    </row>
    <row r="43" spans="1:2" ht="15">
      <c r="A43" s="121" t="s">
        <v>651</v>
      </c>
      <c r="B43" s="47">
        <v>4</v>
      </c>
    </row>
    <row r="44" spans="1:2" ht="15">
      <c r="A44" s="121" t="s">
        <v>652</v>
      </c>
      <c r="B44" s="47">
        <v>2</v>
      </c>
    </row>
    <row r="45" spans="1:2" ht="15">
      <c r="A45" s="121" t="s">
        <v>653</v>
      </c>
      <c r="B45" s="47">
        <v>2</v>
      </c>
    </row>
    <row r="46" spans="1:2" ht="15">
      <c r="A46" s="121" t="s">
        <v>654</v>
      </c>
      <c r="B46" s="47">
        <v>2</v>
      </c>
    </row>
    <row r="48" spans="1:2" ht="15">
      <c r="A48" s="88" t="s">
        <v>655</v>
      </c>
    </row>
    <row r="49" spans="1:5">
      <c r="A49" s="110" t="s">
        <v>656</v>
      </c>
      <c r="B49" s="84" t="s">
        <v>384</v>
      </c>
      <c r="C49" s="157" t="s">
        <v>657</v>
      </c>
      <c r="D49" s="157"/>
      <c r="E49" s="157"/>
    </row>
    <row r="50" spans="1:5" ht="147.4" customHeight="1">
      <c r="A50" s="93" t="s">
        <v>658</v>
      </c>
      <c r="B50" s="47">
        <v>5</v>
      </c>
      <c r="C50" s="161" t="s">
        <v>659</v>
      </c>
      <c r="D50" s="161"/>
      <c r="E50" s="161"/>
    </row>
    <row r="51" spans="1:5" ht="30" customHeight="1">
      <c r="A51" s="93" t="s">
        <v>660</v>
      </c>
      <c r="B51" s="47">
        <v>3</v>
      </c>
      <c r="C51" s="161" t="s">
        <v>661</v>
      </c>
      <c r="D51" s="161"/>
      <c r="E51" s="161"/>
    </row>
    <row r="52" spans="1:5" ht="30" customHeight="1">
      <c r="A52" s="93" t="s">
        <v>662</v>
      </c>
      <c r="B52" s="47">
        <v>3</v>
      </c>
      <c r="C52" s="161"/>
      <c r="D52" s="161"/>
      <c r="E52" s="161"/>
    </row>
    <row r="53" spans="1:5" ht="30" customHeight="1">
      <c r="A53" s="93" t="s">
        <v>663</v>
      </c>
      <c r="B53" s="47">
        <v>3</v>
      </c>
      <c r="C53" s="161" t="s">
        <v>664</v>
      </c>
      <c r="D53" s="161"/>
      <c r="E53" s="161"/>
    </row>
    <row r="54" spans="1:5" ht="81.400000000000006" customHeight="1">
      <c r="A54" s="93" t="s">
        <v>665</v>
      </c>
      <c r="B54" s="47">
        <v>3</v>
      </c>
      <c r="C54" s="161" t="s">
        <v>666</v>
      </c>
      <c r="D54" s="161"/>
      <c r="E54" s="161"/>
    </row>
  </sheetData>
  <mergeCells count="33">
    <mergeCell ref="C9:E9"/>
    <mergeCell ref="C2:E2"/>
    <mergeCell ref="C3:E3"/>
    <mergeCell ref="C4:E4"/>
    <mergeCell ref="C5:E5"/>
    <mergeCell ref="C6:E6"/>
    <mergeCell ref="A30:E30"/>
    <mergeCell ref="C10:E10"/>
    <mergeCell ref="C7:E7"/>
    <mergeCell ref="C19:E19"/>
    <mergeCell ref="C14:E14"/>
    <mergeCell ref="C12:E12"/>
    <mergeCell ref="C8:E8"/>
    <mergeCell ref="C16:E16"/>
    <mergeCell ref="C17:E17"/>
    <mergeCell ref="C11:E11"/>
    <mergeCell ref="C15:E15"/>
    <mergeCell ref="C18:E18"/>
    <mergeCell ref="C13:E13"/>
    <mergeCell ref="A24:E24"/>
    <mergeCell ref="A23:E23"/>
    <mergeCell ref="C20:E20"/>
    <mergeCell ref="A25:E25"/>
    <mergeCell ref="A26:E26"/>
    <mergeCell ref="A27:E27"/>
    <mergeCell ref="A28:E28"/>
    <mergeCell ref="A29:E29"/>
    <mergeCell ref="C50:E50"/>
    <mergeCell ref="C54:E54"/>
    <mergeCell ref="C51:E51"/>
    <mergeCell ref="C53:E53"/>
    <mergeCell ref="C49:E49"/>
    <mergeCell ref="C52:E52"/>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8"/>
  <sheetViews>
    <sheetView workbookViewId="0">
      <selection activeCell="B3" sqref="B3"/>
    </sheetView>
  </sheetViews>
  <sheetFormatPr defaultRowHeight="15"/>
  <cols>
    <col min="3" max="3" width="59.6640625" customWidth="1"/>
  </cols>
  <sheetData>
    <row r="2" spans="1:3">
      <c r="A2" s="2" t="s">
        <v>667</v>
      </c>
      <c r="B2" s="3" t="s">
        <v>668</v>
      </c>
      <c r="C2" s="2" t="s">
        <v>669</v>
      </c>
    </row>
    <row r="3" spans="1:3" ht="45">
      <c r="A3">
        <f>ROW() -ROW($A$2)</f>
        <v>1</v>
      </c>
      <c r="B3" t="s">
        <v>670</v>
      </c>
      <c r="C3" s="1" t="s">
        <v>671</v>
      </c>
    </row>
    <row r="4" spans="1:3" ht="60">
      <c r="A4">
        <f t="shared" ref="A4:A8" si="0">ROW() -ROW($A$2)</f>
        <v>2</v>
      </c>
      <c r="B4" t="s">
        <v>670</v>
      </c>
      <c r="C4" s="1" t="s">
        <v>672</v>
      </c>
    </row>
    <row r="5" spans="1:3" ht="30">
      <c r="A5">
        <f t="shared" si="0"/>
        <v>3</v>
      </c>
      <c r="B5" t="s">
        <v>670</v>
      </c>
      <c r="C5" s="1" t="s">
        <v>673</v>
      </c>
    </row>
    <row r="6" spans="1:3">
      <c r="A6">
        <f t="shared" si="0"/>
        <v>4</v>
      </c>
      <c r="B6" t="s">
        <v>670</v>
      </c>
      <c r="C6" s="1" t="s">
        <v>674</v>
      </c>
    </row>
    <row r="7" spans="1:3" ht="75">
      <c r="A7">
        <f t="shared" si="0"/>
        <v>5</v>
      </c>
      <c r="B7" t="s">
        <v>675</v>
      </c>
      <c r="C7" s="1" t="s">
        <v>676</v>
      </c>
    </row>
    <row r="8" spans="1:3" ht="105">
      <c r="A8">
        <f t="shared" si="0"/>
        <v>6</v>
      </c>
      <c r="B8" t="s">
        <v>677</v>
      </c>
      <c r="C8" s="1" t="s">
        <v>678</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4A86DB2FF6634888AF2869F777844E" ma:contentTypeVersion="18" ma:contentTypeDescription="新しいドキュメントを作成します。" ma:contentTypeScope="" ma:versionID="d9988411f05879f23fe7d0a7d7ae1e08">
  <xsd:schema xmlns:xsd="http://www.w3.org/2001/XMLSchema" xmlns:xs="http://www.w3.org/2001/XMLSchema" xmlns:p="http://schemas.microsoft.com/office/2006/metadata/properties" xmlns:ns2="0a378be0-044c-4cb1-8af9-315ae6d5d1a9" xmlns:ns3="a606ba4e-c7de-41a6-b48d-5cc304598ac0" targetNamespace="http://schemas.microsoft.com/office/2006/metadata/properties" ma:root="true" ma:fieldsID="887ccad6b3f9acf871a3c5545749b3e2" ns2:_="" ns3:_="">
    <xsd:import namespace="0a378be0-044c-4cb1-8af9-315ae6d5d1a9"/>
    <xsd:import namespace="a606ba4e-c7de-41a6-b48d-5cc304598ac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78be0-044c-4cb1-8af9-315ae6d5d1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31f80f1b-8a8e-40b4-b5a5-8ba582b24d5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06ba4e-c7de-41a6-b48d-5cc304598ac0"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378be0-044c-4cb1-8af9-315ae6d5d1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33E7A3F-F822-47F9-B83E-4743DC728441}"/>
</file>

<file path=customXml/itemProps2.xml><?xml version="1.0" encoding="utf-8"?>
<ds:datastoreItem xmlns:ds="http://schemas.openxmlformats.org/officeDocument/2006/customXml" ds:itemID="{8D8C7B7D-C37B-46E3-8944-269E0FFAB5F6}"/>
</file>

<file path=customXml/itemProps3.xml><?xml version="1.0" encoding="utf-8"?>
<ds:datastoreItem xmlns:ds="http://schemas.openxmlformats.org/officeDocument/2006/customXml" ds:itemID="{6955512C-6955-4AEE-AF8E-007612CA79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Isogai, Hibiki (磯貝 日々輝)</dc:creator>
  <cp:keywords/>
  <dc:description/>
  <cp:lastModifiedBy>Fujioka, Ryo (藤岡 諒)</cp:lastModifiedBy>
  <cp:revision/>
  <dcterms:created xsi:type="dcterms:W3CDTF">2015-06-05T18:19:34Z</dcterms:created>
  <dcterms:modified xsi:type="dcterms:W3CDTF">2025-12-02T22:18:09Z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0x010100E94A86DB2FF6634888AF2869F777844E</vt:lpwstr>
  </property>
  <property fmtid="{D5CDD505-2E9C-101B-9397-08002B2CF9AE}" pid="3" name="MediaServiceImageTags">
    <vt:lpwstr/>
  </property>
</Properties>
</file>